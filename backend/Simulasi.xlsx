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01. Nanda\09. Other\01. Bion\"/>
    </mc:Choice>
  </mc:AlternateContent>
  <xr:revisionPtr revIDLastSave="1" documentId="13_ncr:1_{403045D8-FCD7-47FC-99AD-6018926CE1D6}" xr6:coauthVersionLast="47" xr6:coauthVersionMax="47" xr10:uidLastSave="{93F2AE22-94D3-4AC6-89C6-724BD09567CF}"/>
  <bookViews>
    <workbookView xWindow="-110" yWindow="-110" windowWidth="19420" windowHeight="11500" activeTab="1" xr2:uid="{F58A7C7F-1CDC-42E8-96C1-1F636E063C4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2" l="1"/>
  <c r="P12" i="2"/>
  <c r="I105" i="1"/>
  <c r="H105" i="1"/>
  <c r="P19" i="2"/>
  <c r="P18" i="2"/>
  <c r="P17" i="2"/>
  <c r="P16" i="2"/>
  <c r="P15" i="2"/>
  <c r="P14" i="2"/>
  <c r="P13" i="2"/>
  <c r="I16" i="1"/>
  <c r="H16" i="1"/>
  <c r="G16" i="1"/>
  <c r="F16" i="1"/>
  <c r="E16" i="1"/>
  <c r="D16" i="1"/>
  <c r="C16" i="1"/>
  <c r="C106" i="1" a="1"/>
  <c r="C106" i="1" s="1"/>
  <c r="H106" i="1" s="1"/>
  <c r="K16" i="1"/>
  <c r="Q19" i="2"/>
  <c r="Q18" i="2"/>
  <c r="Q17" i="2"/>
  <c r="Q16" i="2"/>
  <c r="Q15" i="2"/>
  <c r="Q13" i="2"/>
  <c r="Q14" i="2"/>
  <c r="C94" i="1" a="1"/>
  <c r="C94" i="1" s="1"/>
  <c r="C83" i="1" a="1"/>
  <c r="C83" i="1" s="1"/>
  <c r="B56" i="1"/>
  <c r="C57" i="1" a="1"/>
  <c r="C57" i="1" s="1"/>
  <c r="C67" i="1" s="1"/>
  <c r="C48" i="1" a="1"/>
  <c r="C48" i="1" s="1"/>
  <c r="C37" i="1" a="1"/>
  <c r="C26" i="1" a="1"/>
  <c r="C26" i="1" s="1"/>
  <c r="M13" i="2"/>
  <c r="I19" i="2"/>
  <c r="I18" i="2"/>
  <c r="I17" i="2"/>
  <c r="I16" i="2"/>
  <c r="I15" i="2"/>
  <c r="I14" i="2"/>
  <c r="J13" i="2"/>
  <c r="I13" i="2"/>
  <c r="J12" i="2"/>
  <c r="J9" i="2" a="1"/>
  <c r="J9" i="2" s="1"/>
  <c r="J19" i="2" s="1"/>
  <c r="J8" i="2" a="1"/>
  <c r="J8" i="2" s="1"/>
  <c r="J18" i="2" s="1"/>
  <c r="J7" i="2" a="1"/>
  <c r="J7" i="2" s="1"/>
  <c r="J17" i="2" s="1"/>
  <c r="J6" i="2" a="1"/>
  <c r="J6" i="2" s="1"/>
  <c r="J16" i="2" s="1"/>
  <c r="J5" i="2" a="1"/>
  <c r="J5" i="2" s="1"/>
  <c r="J15" i="2" s="1"/>
  <c r="J4" i="2" a="1"/>
  <c r="J4" i="2" s="1"/>
  <c r="J14" i="2" s="1"/>
  <c r="J3" i="2" a="1"/>
  <c r="J3" i="2" s="1"/>
  <c r="K2" i="2" a="1"/>
  <c r="K2" i="2" s="1"/>
  <c r="K12" i="2" s="1"/>
  <c r="D9" i="2" a="1"/>
  <c r="D9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E2" i="2" a="1"/>
  <c r="E2" i="2" s="1"/>
  <c r="E12" i="2" s="1"/>
  <c r="I17" i="1"/>
  <c r="I18" i="1" s="1"/>
  <c r="I15" i="1"/>
  <c r="I14" i="1"/>
  <c r="H17" i="1"/>
  <c r="H18" i="1" s="1"/>
  <c r="H15" i="1"/>
  <c r="H14" i="1"/>
  <c r="G17" i="1"/>
  <c r="G18" i="1" s="1"/>
  <c r="G15" i="1"/>
  <c r="G14" i="1"/>
  <c r="F17" i="1"/>
  <c r="F18" i="1" s="1"/>
  <c r="F15" i="1"/>
  <c r="F14" i="1"/>
  <c r="E17" i="1"/>
  <c r="E18" i="1" s="1"/>
  <c r="E15" i="1"/>
  <c r="E14" i="1"/>
  <c r="D17" i="1"/>
  <c r="D18" i="1" s="1"/>
  <c r="D15" i="1"/>
  <c r="D14" i="1"/>
  <c r="C17" i="1"/>
  <c r="C18" i="1" s="1"/>
  <c r="C15" i="1"/>
  <c r="C14" i="1"/>
  <c r="H111" i="1" l="1"/>
  <c r="H112" i="1"/>
  <c r="I106" i="1"/>
  <c r="I107" i="1"/>
  <c r="I108" i="1"/>
  <c r="I109" i="1"/>
  <c r="H107" i="1"/>
  <c r="H108" i="1"/>
  <c r="H109" i="1"/>
  <c r="I110" i="1"/>
  <c r="H110" i="1"/>
  <c r="I111" i="1"/>
  <c r="I112" i="1"/>
  <c r="K15" i="2"/>
  <c r="K16" i="2"/>
  <c r="M15" i="2"/>
  <c r="M18" i="2"/>
  <c r="M14" i="2"/>
  <c r="F17" i="2"/>
  <c r="E17" i="2"/>
  <c r="F19" i="2"/>
  <c r="G18" i="2"/>
  <c r="G19" i="2"/>
  <c r="K13" i="2"/>
  <c r="O8" i="2"/>
  <c r="O18" i="2" s="1"/>
  <c r="F13" i="2"/>
  <c r="B13" i="1" s="1"/>
  <c r="D27" i="1" s="1"/>
  <c r="F15" i="2"/>
  <c r="N2" i="2"/>
  <c r="N12" i="2" s="1"/>
  <c r="N9" i="2"/>
  <c r="N19" i="2" s="1"/>
  <c r="H13" i="2"/>
  <c r="H15" i="2"/>
  <c r="H17" i="2"/>
  <c r="H19" i="2"/>
  <c r="K14" i="2"/>
  <c r="E13" i="2"/>
  <c r="M19" i="2"/>
  <c r="N3" i="2"/>
  <c r="N13" i="2" s="1"/>
  <c r="E15" i="2"/>
  <c r="O3" i="2"/>
  <c r="O13" i="2" s="1"/>
  <c r="F12" i="2"/>
  <c r="L13" i="2"/>
  <c r="L15" i="2"/>
  <c r="L17" i="2"/>
  <c r="L19" i="2"/>
  <c r="K17" i="2"/>
  <c r="E16" i="2"/>
  <c r="O7" i="2"/>
  <c r="O17" i="2" s="1"/>
  <c r="K18" i="2"/>
  <c r="F14" i="2"/>
  <c r="F18" i="2"/>
  <c r="G13" i="2"/>
  <c r="N6" i="2"/>
  <c r="N16" i="2" s="1"/>
  <c r="G15" i="2"/>
  <c r="O6" i="2"/>
  <c r="O16" i="2" s="1"/>
  <c r="L12" i="2"/>
  <c r="G16" i="2"/>
  <c r="M16" i="2"/>
  <c r="N8" i="2"/>
  <c r="N18" i="2" s="1"/>
  <c r="O2" i="2"/>
  <c r="O12" i="2" s="1"/>
  <c r="O9" i="2"/>
  <c r="O19" i="2" s="1"/>
  <c r="E14" i="2"/>
  <c r="N4" i="2"/>
  <c r="N14" i="2" s="1"/>
  <c r="G12" i="2"/>
  <c r="O4" i="2"/>
  <c r="O14" i="2" s="1"/>
  <c r="H12" i="2"/>
  <c r="K19" i="2"/>
  <c r="E18" i="2"/>
  <c r="N5" i="2"/>
  <c r="N15" i="2" s="1"/>
  <c r="I12" i="2"/>
  <c r="F16" i="2"/>
  <c r="E19" i="2"/>
  <c r="O5" i="2"/>
  <c r="O15" i="2" s="1"/>
  <c r="H14" i="2"/>
  <c r="H16" i="2"/>
  <c r="H18" i="2"/>
  <c r="G14" i="2"/>
  <c r="N7" i="2"/>
  <c r="N17" i="2" s="1"/>
  <c r="M12" i="2"/>
  <c r="L14" i="2"/>
  <c r="L16" i="2"/>
  <c r="L18" i="2"/>
  <c r="G17" i="2"/>
  <c r="M17" i="2"/>
  <c r="C20" i="1"/>
  <c r="E20" i="1"/>
  <c r="I20" i="1"/>
  <c r="D20" i="1"/>
  <c r="C37" i="1"/>
  <c r="H20" i="1"/>
  <c r="G20" i="1"/>
  <c r="F20" i="1"/>
  <c r="G27" i="1" l="1"/>
  <c r="D30" i="1"/>
  <c r="D26" i="1"/>
  <c r="G28" i="1"/>
  <c r="D32" i="1"/>
  <c r="E30" i="1"/>
  <c r="F13" i="1"/>
  <c r="F19" i="1" s="1"/>
  <c r="F29" i="1" s="1"/>
  <c r="E13" i="1"/>
  <c r="D13" i="1"/>
  <c r="D19" i="1" s="1"/>
  <c r="F27" i="1" s="1"/>
  <c r="G13" i="1"/>
  <c r="G19" i="1" s="1"/>
  <c r="F30" i="1" s="1"/>
  <c r="C13" i="1"/>
  <c r="C19" i="1" s="1"/>
  <c r="F26" i="1" s="1"/>
  <c r="I13" i="1"/>
  <c r="I19" i="1" s="1"/>
  <c r="F32" i="1" s="1"/>
  <c r="H13" i="1"/>
  <c r="H19" i="1" s="1"/>
  <c r="F31" i="1" s="1"/>
  <c r="D31" i="1"/>
  <c r="E26" i="1"/>
  <c r="G29" i="1"/>
  <c r="G26" i="1"/>
  <c r="E27" i="1"/>
  <c r="E32" i="1"/>
  <c r="D29" i="1"/>
  <c r="E29" i="1"/>
  <c r="G32" i="1"/>
  <c r="G30" i="1"/>
  <c r="E31" i="1"/>
  <c r="E28" i="1"/>
  <c r="G31" i="1"/>
  <c r="D28" i="1"/>
  <c r="D34" i="1" l="1"/>
  <c r="D38" i="1" s="1"/>
  <c r="D49" i="1" s="1"/>
  <c r="D58" i="1" s="1"/>
  <c r="C21" i="1"/>
  <c r="D21" i="1"/>
  <c r="D91" i="1"/>
  <c r="D84" i="1" s="1"/>
  <c r="E19" i="1"/>
  <c r="F28" i="1" s="1"/>
  <c r="F34" i="1" s="1"/>
  <c r="E21" i="1"/>
  <c r="G91" i="1"/>
  <c r="G89" i="1" s="1"/>
  <c r="F21" i="1"/>
  <c r="G34" i="1"/>
  <c r="G42" i="1" s="1"/>
  <c r="G53" i="1" s="1"/>
  <c r="G62" i="1" s="1"/>
  <c r="E91" i="1"/>
  <c r="E88" i="1" s="1"/>
  <c r="H21" i="1"/>
  <c r="I21" i="1"/>
  <c r="G21" i="1"/>
  <c r="E34" i="1"/>
  <c r="E40" i="1" s="1"/>
  <c r="E51" i="1" s="1"/>
  <c r="E60" i="1" s="1"/>
  <c r="G86" i="1" l="1"/>
  <c r="G83" i="1"/>
  <c r="G85" i="1"/>
  <c r="G88" i="1"/>
  <c r="G84" i="1"/>
  <c r="G87" i="1"/>
  <c r="E42" i="1"/>
  <c r="E53" i="1" s="1"/>
  <c r="E62" i="1" s="1"/>
  <c r="D41" i="1"/>
  <c r="D52" i="1" s="1"/>
  <c r="D61" i="1" s="1"/>
  <c r="D37" i="1"/>
  <c r="D48" i="1" s="1"/>
  <c r="D57" i="1" s="1"/>
  <c r="D39" i="1"/>
  <c r="D50" i="1" s="1"/>
  <c r="D59" i="1" s="1"/>
  <c r="G38" i="1"/>
  <c r="G49" i="1" s="1"/>
  <c r="G58" i="1" s="1"/>
  <c r="E87" i="1"/>
  <c r="E86" i="1"/>
  <c r="E38" i="1"/>
  <c r="E49" i="1" s="1"/>
  <c r="E58" i="1" s="1"/>
  <c r="D40" i="1"/>
  <c r="G41" i="1"/>
  <c r="G52" i="1" s="1"/>
  <c r="G61" i="1" s="1"/>
  <c r="D43" i="1"/>
  <c r="D54" i="1" s="1"/>
  <c r="D63" i="1" s="1"/>
  <c r="D42" i="1"/>
  <c r="D53" i="1" s="1"/>
  <c r="D62" i="1" s="1"/>
  <c r="E37" i="1"/>
  <c r="E48" i="1" s="1"/>
  <c r="E57" i="1" s="1"/>
  <c r="E41" i="1"/>
  <c r="E52" i="1" s="1"/>
  <c r="E61" i="1" s="1"/>
  <c r="D83" i="1"/>
  <c r="F41" i="1"/>
  <c r="F52" i="1" s="1"/>
  <c r="F61" i="1" s="1"/>
  <c r="F43" i="1"/>
  <c r="F54" i="1" s="1"/>
  <c r="F63" i="1" s="1"/>
  <c r="F40" i="1"/>
  <c r="F51" i="1" s="1"/>
  <c r="F60" i="1" s="1"/>
  <c r="F42" i="1"/>
  <c r="F53" i="1" s="1"/>
  <c r="F62" i="1" s="1"/>
  <c r="F38" i="1"/>
  <c r="F49" i="1" s="1"/>
  <c r="F58" i="1" s="1"/>
  <c r="F37" i="1"/>
  <c r="F48" i="1" s="1"/>
  <c r="F57" i="1" s="1"/>
  <c r="E39" i="1"/>
  <c r="E50" i="1" s="1"/>
  <c r="E59" i="1" s="1"/>
  <c r="G37" i="1"/>
  <c r="D89" i="1"/>
  <c r="E43" i="1"/>
  <c r="E54" i="1" s="1"/>
  <c r="E63" i="1" s="1"/>
  <c r="D85" i="1"/>
  <c r="E84" i="1"/>
  <c r="G40" i="1"/>
  <c r="G51" i="1" s="1"/>
  <c r="G60" i="1" s="1"/>
  <c r="D87" i="1"/>
  <c r="E83" i="1"/>
  <c r="E89" i="1"/>
  <c r="F39" i="1"/>
  <c r="F50" i="1" s="1"/>
  <c r="F59" i="1" s="1"/>
  <c r="G39" i="1"/>
  <c r="G50" i="1" s="1"/>
  <c r="G59" i="1" s="1"/>
  <c r="D86" i="1"/>
  <c r="D88" i="1"/>
  <c r="E85" i="1"/>
  <c r="G43" i="1"/>
  <c r="G54" i="1" s="1"/>
  <c r="G63" i="1" s="1"/>
  <c r="F91" i="1"/>
  <c r="E45" i="1" l="1"/>
  <c r="G48" i="1"/>
  <c r="G57" i="1" s="1"/>
  <c r="G45" i="1"/>
  <c r="F65" i="1"/>
  <c r="F70" i="1" s="1"/>
  <c r="F73" i="1" s="1"/>
  <c r="D51" i="1"/>
  <c r="D60" i="1" s="1"/>
  <c r="D65" i="1" s="1"/>
  <c r="D70" i="1" s="1"/>
  <c r="D73" i="1" s="1"/>
  <c r="D45" i="1"/>
  <c r="E65" i="1"/>
  <c r="E70" i="1" s="1"/>
  <c r="E73" i="1" s="1"/>
  <c r="F45" i="1"/>
  <c r="F87" i="1"/>
  <c r="F83" i="1"/>
  <c r="F86" i="1"/>
  <c r="F88" i="1"/>
  <c r="F84" i="1"/>
  <c r="F89" i="1"/>
  <c r="F85" i="1"/>
  <c r="G65" i="1" l="1"/>
  <c r="G70" i="1" s="1"/>
  <c r="G73" i="1" s="1"/>
  <c r="E76" i="1" l="1"/>
  <c r="E99" i="1" s="1"/>
  <c r="F76" i="1"/>
  <c r="F96" i="1" s="1"/>
  <c r="G76" i="1"/>
  <c r="G95" i="1" s="1"/>
  <c r="D76" i="1"/>
  <c r="D98" i="1" s="1"/>
  <c r="F94" i="1"/>
  <c r="F99" i="1"/>
  <c r="F95" i="1"/>
  <c r="F100" i="1"/>
  <c r="F97" i="1"/>
  <c r="F98" i="1"/>
  <c r="G99" i="1"/>
  <c r="E94" i="1"/>
  <c r="D95" i="1" l="1"/>
  <c r="G100" i="1"/>
  <c r="G97" i="1"/>
  <c r="D97" i="1"/>
  <c r="G96" i="1"/>
  <c r="E97" i="1"/>
  <c r="E95" i="1"/>
  <c r="E103" i="1" s="1"/>
  <c r="E98" i="1"/>
  <c r="E100" i="1"/>
  <c r="G98" i="1"/>
  <c r="E96" i="1"/>
  <c r="E102" i="1" s="1"/>
  <c r="G94" i="1"/>
  <c r="G103" i="1" s="1"/>
  <c r="D96" i="1"/>
  <c r="D99" i="1"/>
  <c r="D94" i="1"/>
  <c r="D100" i="1"/>
  <c r="F103" i="1"/>
  <c r="F102" i="1"/>
  <c r="G102" i="1" l="1"/>
  <c r="D111" i="1" s="1"/>
  <c r="D103" i="1"/>
  <c r="D102" i="1"/>
  <c r="E108" i="1"/>
  <c r="E106" i="1"/>
  <c r="E109" i="1"/>
  <c r="E112" i="1"/>
  <c r="E111" i="1"/>
  <c r="E107" i="1"/>
  <c r="E110" i="1"/>
  <c r="D106" i="1" l="1"/>
  <c r="D107" i="1"/>
  <c r="F107" i="1" s="1"/>
  <c r="D110" i="1"/>
  <c r="F110" i="1" s="1"/>
  <c r="D112" i="1"/>
  <c r="F112" i="1" s="1"/>
  <c r="G112" i="1" s="1"/>
  <c r="D109" i="1"/>
  <c r="F109" i="1"/>
  <c r="D108" i="1"/>
  <c r="F111" i="1"/>
  <c r="F106" i="1"/>
  <c r="F108" i="1"/>
  <c r="G107" i="1" l="1"/>
  <c r="G108" i="1"/>
  <c r="G111" i="1"/>
  <c r="G110" i="1"/>
  <c r="G109" i="1"/>
  <c r="G1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<sst xmlns="http://schemas.openxmlformats.org/spreadsheetml/2006/main" count="111" uniqueCount="64">
  <si>
    <t>Keterangan</t>
  </si>
  <si>
    <t>ADMR</t>
  </si>
  <si>
    <t>ADRO</t>
  </si>
  <si>
    <t>AKRA</t>
  </si>
  <si>
    <t>ITMG</t>
  </si>
  <si>
    <t>MEDC</t>
  </si>
  <si>
    <t>PGAS</t>
  </si>
  <si>
    <t>PTBA</t>
  </si>
  <si>
    <t>Satuan</t>
  </si>
  <si>
    <t>Tanggal laporan audit atau hasil laporan review</t>
  </si>
  <si>
    <t>Kurs Konversi</t>
  </si>
  <si>
    <t>Jumlah Aset</t>
  </si>
  <si>
    <t>Jumlah Liabilitas</t>
  </si>
  <si>
    <t>Jumlah ekuitas</t>
  </si>
  <si>
    <t>Jumlah ekuitas yang diatribusikan kepada pemilik entitas induk</t>
  </si>
  <si>
    <t>Jumlah laba</t>
  </si>
  <si>
    <t>Laba yang dapat diatribusikan ke entitas induk</t>
  </si>
  <si>
    <t>Laba per saham</t>
  </si>
  <si>
    <t>ROA</t>
  </si>
  <si>
    <t>DER</t>
  </si>
  <si>
    <t>EPS</t>
  </si>
  <si>
    <t>Jumlah Saham Beredar</t>
  </si>
  <si>
    <t>BVPS</t>
  </si>
  <si>
    <t>PBV</t>
  </si>
  <si>
    <t>Graham Number (nilai intrinsik)</t>
  </si>
  <si>
    <t>Klasifikasi Graham Number</t>
  </si>
  <si>
    <t>ENTROPY</t>
  </si>
  <si>
    <t>SUMMARY</t>
  </si>
  <si>
    <t>KODE</t>
  </si>
  <si>
    <t>TOTAL</t>
  </si>
  <si>
    <t>Pij</t>
  </si>
  <si>
    <t>LN Pij</t>
  </si>
  <si>
    <t>k</t>
  </si>
  <si>
    <t>z</t>
  </si>
  <si>
    <t>Dj = 1 - Ej</t>
  </si>
  <si>
    <t>WEIGHT</t>
  </si>
  <si>
    <t>benefit</t>
  </si>
  <si>
    <t>cost</t>
  </si>
  <si>
    <t>benefit = semakin tinggi nilai nya, semakin baik</t>
  </si>
  <si>
    <t>cost = kebalikannya</t>
  </si>
  <si>
    <t>TOPSIS</t>
  </si>
  <si>
    <t>Matriks Ternormalisasi Berbobot</t>
  </si>
  <si>
    <t>Solusi Ideal Positif</t>
  </si>
  <si>
    <t>Solusi Ideal Negatif</t>
  </si>
  <si>
    <t>Jarak Positif</t>
  </si>
  <si>
    <t>Jarak Negatif</t>
  </si>
  <si>
    <t>Skor Akhir</t>
  </si>
  <si>
    <t>Rank Perhitungan</t>
  </si>
  <si>
    <t xml:space="preserve">    Ticker Actual_Date_2025-04-01  Close_2025-04-01 Actual_Date_2025-09-01  \</t>
  </si>
  <si>
    <t xml:space="preserve">0  ADRO.JK             2025-04-08            1645.0             2025-09-01   </t>
  </si>
  <si>
    <t xml:space="preserve">1  ADMR.JK             2025-04-08             790.0             2025-09-01   </t>
  </si>
  <si>
    <t xml:space="preserve">2  AKRA.JK             2025-04-08             970.0             2025-09-01   </t>
  </si>
  <si>
    <t xml:space="preserve">3  ITMG.JK             2025-04-08           21825.0             2025-09-01   </t>
  </si>
  <si>
    <t xml:space="preserve">4  MEDC.JK             2025-04-08             970.0             2025-09-01   </t>
  </si>
  <si>
    <t xml:space="preserve">5  PGAS.JK             2025-04-08            1445.0             2025-09-01   </t>
  </si>
  <si>
    <t xml:space="preserve">6  PTBA.JK             2025-04-08            2420.0             2025-09-01   </t>
  </si>
  <si>
    <t xml:space="preserve">   Close_2025-09-01 Actual_Date_2026-04-01  Close_2026-04-01  </t>
  </si>
  <si>
    <t xml:space="preserve">0            1720.0             2026-04-01            2490.0  </t>
  </si>
  <si>
    <t xml:space="preserve">1             990.0             2026-04-01            2010.0  </t>
  </si>
  <si>
    <t xml:space="preserve">2            1190.0             2026-04-01            1345.0  </t>
  </si>
  <si>
    <t xml:space="preserve">3           22200.0             2026-04-01           27775.0  </t>
  </si>
  <si>
    <t xml:space="preserve">4            1135.0             2026-04-01            1685.0  </t>
  </si>
  <si>
    <t xml:space="preserve">5            1665.0             2026-04-01            1840.0  </t>
  </si>
  <si>
    <t xml:space="preserve">6            2400.0             2026-04-01            2980.0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</si>
</sst>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000000_-;\-* #,##0.00000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0" borderId="1" xfId="0" applyBorder="1"/>
    <xf numFmtId="9" fontId="0" fillId="0" borderId="1" xfId="2" applyFont="1" applyBorder="1"/>
    <xf numFmtId="164" fontId="0" fillId="0" borderId="1" xfId="1" applyFont="1" applyBorder="1"/>
    <xf numFmtId="165" fontId="0" fillId="0" borderId="1" xfId="1" applyNumberFormat="1" applyFont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right" vertical="center"/>
    </xf>
    <xf numFmtId="0" fontId="2" fillId="0" borderId="1" xfId="0" applyFont="1" applyBorder="1"/>
    <xf numFmtId="164" fontId="2" fillId="0" borderId="0" xfId="1" applyFont="1"/>
    <xf numFmtId="2" fontId="2" fillId="0" borderId="0" xfId="0" applyNumberFormat="1" applyFont="1" applyAlignment="1">
      <alignment horizontal="centerContinuous"/>
    </xf>
    <xf numFmtId="2" fontId="0" fillId="0" borderId="0" xfId="0" applyNumberFormat="1" applyAlignment="1">
      <alignment horizontal="centerContinuous"/>
    </xf>
    <xf numFmtId="164" fontId="0" fillId="0" borderId="1" xfId="0" applyNumberFormat="1" applyBorder="1"/>
    <xf numFmtId="0" fontId="0" fillId="0" borderId="2" xfId="0" applyBorder="1"/>
    <xf numFmtId="164" fontId="2" fillId="0" borderId="1" xfId="1" applyFont="1" applyBorder="1"/>
    <xf numFmtId="0" fontId="0" fillId="3" borderId="1" xfId="0" applyFill="1" applyBorder="1"/>
    <xf numFmtId="165" fontId="0" fillId="3" borderId="1" xfId="1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vertical="center"/>
    </xf>
    <xf numFmtId="166" fontId="0" fillId="3" borderId="1" xfId="1" applyNumberFormat="1" applyFont="1" applyFill="1" applyBorder="1" applyAlignment="1">
      <alignment horizontal="right" vertical="center"/>
    </xf>
    <xf numFmtId="0" fontId="0" fillId="4" borderId="1" xfId="0" applyFill="1" applyBorder="1"/>
    <xf numFmtId="10" fontId="0" fillId="4" borderId="1" xfId="2" applyNumberFormat="1" applyFont="1" applyFill="1" applyBorder="1" applyAlignment="1">
      <alignment horizontal="right" vertical="center"/>
    </xf>
    <xf numFmtId="164" fontId="0" fillId="4" borderId="1" xfId="1" applyFont="1" applyFill="1" applyBorder="1" applyAlignment="1">
      <alignment horizontal="right" vertical="center"/>
    </xf>
    <xf numFmtId="165" fontId="0" fillId="4" borderId="1" xfId="1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0" fontId="0" fillId="4" borderId="1" xfId="0" applyFill="1" applyBorder="1" applyAlignment="1">
      <alignment horizontal="right" vertical="center"/>
    </xf>
    <xf numFmtId="0" fontId="0" fillId="2" borderId="1" xfId="0" applyFill="1" applyBorder="1" applyAlignment="1">
      <alignment wrapText="1"/>
    </xf>
    <xf numFmtId="0" fontId="0" fillId="0" borderId="0" xfId="0" applyAlignment="1">
      <alignment vertical="center" wrapText="1"/>
    </xf>
    <xf numFmtId="0" fontId="2" fillId="0" borderId="3" xfId="0" applyFont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0E0F-0CD9-4706-9F39-5A44F823E204}">
  <dimension ref="B2:L112"/>
  <sheetViews>
    <sheetView showGridLines="0" topLeftCell="A94" zoomScale="90" zoomScaleNormal="90" workbookViewId="0">
      <selection activeCell="H107" sqref="H107"/>
    </sheetView>
  </sheetViews>
  <sheetFormatPr defaultRowHeight="14.45"/>
  <cols>
    <col min="1" max="1" width="1.7109375" customWidth="1"/>
    <col min="2" max="2" width="30.28515625" customWidth="1"/>
    <col min="3" max="9" width="15.85546875" customWidth="1"/>
    <col min="10" max="10" width="1.7109375" customWidth="1"/>
    <col min="12" max="12" width="21.140625" bestFit="1" customWidth="1"/>
  </cols>
  <sheetData>
    <row r="2" spans="2:12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12">
      <c r="B3" s="19" t="s">
        <v>8</v>
      </c>
      <c r="C3" s="20">
        <v>1</v>
      </c>
      <c r="D3" s="20">
        <v>1000</v>
      </c>
      <c r="E3" s="20">
        <v>1000</v>
      </c>
      <c r="F3" s="20">
        <v>1000</v>
      </c>
      <c r="G3" s="20">
        <v>1</v>
      </c>
      <c r="H3" s="20">
        <v>1</v>
      </c>
      <c r="I3" s="20">
        <v>1000000</v>
      </c>
    </row>
    <row r="4" spans="2:12" ht="29.1">
      <c r="B4" s="21" t="s">
        <v>9</v>
      </c>
      <c r="C4" s="22">
        <v>45715</v>
      </c>
      <c r="D4" s="22">
        <v>45716</v>
      </c>
      <c r="E4" s="22">
        <v>45734</v>
      </c>
      <c r="F4" s="22">
        <v>45714</v>
      </c>
      <c r="G4" s="22">
        <v>45744</v>
      </c>
      <c r="H4" s="22">
        <v>45737</v>
      </c>
      <c r="I4" s="22">
        <v>45742</v>
      </c>
    </row>
    <row r="5" spans="2:12">
      <c r="B5" s="19" t="s">
        <v>10</v>
      </c>
      <c r="C5" s="20">
        <v>16162</v>
      </c>
      <c r="D5" s="20">
        <v>16162</v>
      </c>
      <c r="E5" s="20">
        <v>1</v>
      </c>
      <c r="F5" s="20">
        <v>16260</v>
      </c>
      <c r="G5" s="20">
        <v>16162</v>
      </c>
      <c r="H5" s="20">
        <v>16157</v>
      </c>
      <c r="I5" s="20">
        <v>1</v>
      </c>
    </row>
    <row r="6" spans="2:12">
      <c r="B6" s="19" t="s">
        <v>11</v>
      </c>
      <c r="C6" s="20">
        <v>2073594757</v>
      </c>
      <c r="D6" s="20">
        <v>6702127</v>
      </c>
      <c r="E6" s="20">
        <v>33108684368</v>
      </c>
      <c r="F6" s="20">
        <v>2406544</v>
      </c>
      <c r="G6" s="20">
        <v>7926890365</v>
      </c>
      <c r="H6" s="20">
        <v>6415949730</v>
      </c>
      <c r="I6" s="20">
        <v>41854334</v>
      </c>
      <c r="L6" s="1"/>
    </row>
    <row r="7" spans="2:12">
      <c r="B7" s="19" t="s">
        <v>12</v>
      </c>
      <c r="C7" s="20">
        <v>571331203</v>
      </c>
      <c r="D7" s="20">
        <v>1331295</v>
      </c>
      <c r="E7" s="20">
        <v>18484691894</v>
      </c>
      <c r="F7" s="20">
        <v>472734</v>
      </c>
      <c r="G7" s="20">
        <v>5575858796</v>
      </c>
      <c r="H7" s="20">
        <v>2744422446</v>
      </c>
      <c r="I7" s="20">
        <v>19210522</v>
      </c>
    </row>
    <row r="8" spans="2:12">
      <c r="B8" s="19" t="s">
        <v>13</v>
      </c>
      <c r="C8" s="20">
        <v>1502263554</v>
      </c>
      <c r="D8" s="20">
        <v>5370832</v>
      </c>
      <c r="E8" s="20">
        <v>14623992474</v>
      </c>
      <c r="F8" s="20">
        <v>1933810</v>
      </c>
      <c r="G8" s="20">
        <v>2351031569</v>
      </c>
      <c r="H8" s="20">
        <v>3671527284</v>
      </c>
      <c r="I8" s="20">
        <v>22643812</v>
      </c>
    </row>
    <row r="9" spans="2:12" ht="43.5">
      <c r="B9" s="21" t="s">
        <v>14</v>
      </c>
      <c r="C9" s="20">
        <v>1411313792</v>
      </c>
      <c r="D9" s="20">
        <v>4926856</v>
      </c>
      <c r="E9" s="20">
        <v>11562536639</v>
      </c>
      <c r="F9" s="20">
        <v>1928067</v>
      </c>
      <c r="G9" s="20">
        <v>2118726151</v>
      </c>
      <c r="H9" s="20">
        <v>2826045922</v>
      </c>
      <c r="I9" s="20">
        <v>22505288</v>
      </c>
    </row>
    <row r="10" spans="2:12">
      <c r="B10" s="19" t="s">
        <v>15</v>
      </c>
      <c r="C10" s="20">
        <v>434769398</v>
      </c>
      <c r="D10" s="20">
        <v>1556132</v>
      </c>
      <c r="E10" s="20">
        <v>2399467512</v>
      </c>
      <c r="F10" s="20">
        <v>375601</v>
      </c>
      <c r="G10" s="20">
        <v>380206515</v>
      </c>
      <c r="H10" s="20">
        <v>439637270</v>
      </c>
      <c r="I10" s="20">
        <v>5139423</v>
      </c>
    </row>
    <row r="11" spans="2:12" ht="29.1">
      <c r="B11" s="21" t="s">
        <v>16</v>
      </c>
      <c r="C11" s="20">
        <v>436656873</v>
      </c>
      <c r="D11" s="20">
        <v>1380013</v>
      </c>
      <c r="E11" s="20">
        <v>2225117975</v>
      </c>
      <c r="F11" s="20">
        <v>374119</v>
      </c>
      <c r="G11" s="20">
        <v>367358268</v>
      </c>
      <c r="H11" s="20">
        <v>339427774</v>
      </c>
      <c r="I11" s="20">
        <v>5103720</v>
      </c>
    </row>
    <row r="12" spans="2:12">
      <c r="B12" s="19" t="s">
        <v>17</v>
      </c>
      <c r="C12" s="23">
        <v>1.0699999999999999E-2</v>
      </c>
      <c r="D12" s="23">
        <v>1.8550000000000001E-2</v>
      </c>
      <c r="E12" s="23">
        <v>112.73</v>
      </c>
      <c r="F12" s="23">
        <v>0.33</v>
      </c>
      <c r="G12" s="23">
        <v>1.472E-2</v>
      </c>
      <c r="H12" s="23">
        <v>1.4001924767041001E-2</v>
      </c>
      <c r="I12" s="23">
        <v>444</v>
      </c>
    </row>
    <row r="13" spans="2:12">
      <c r="B13" s="30" t="str">
        <f>"Harga Saham "&amp;TEXT(Sheet2!F13,"DD MMM YYYY")</f>
        <v>Harga Saham 08 Apr 2025</v>
      </c>
      <c r="C13" s="11">
        <f>VLOOKUP(C2,Sheet2!$E$13:$G$19,3,0)</f>
        <v>790</v>
      </c>
      <c r="D13" s="11">
        <f>VLOOKUP(D2,Sheet2!$E$13:$G$19,3,0)</f>
        <v>1645</v>
      </c>
      <c r="E13" s="11">
        <f>VLOOKUP(E2,Sheet2!$E$13:$G$19,3,0)</f>
        <v>970</v>
      </c>
      <c r="F13" s="11">
        <f>VLOOKUP(F2,Sheet2!$E$13:$G$19,3,0)</f>
        <v>21825</v>
      </c>
      <c r="G13" s="11">
        <f>VLOOKUP(G2,Sheet2!$E$13:$G$19,3,0)</f>
        <v>970</v>
      </c>
      <c r="H13" s="11">
        <f>VLOOKUP(H2,Sheet2!$E$13:$G$19,3,0)</f>
        <v>1445</v>
      </c>
      <c r="I13" s="11">
        <f>VLOOKUP(I2,Sheet2!$E$13:$G$19,3,0)</f>
        <v>2420</v>
      </c>
    </row>
    <row r="14" spans="2:12">
      <c r="B14" s="24" t="s">
        <v>18</v>
      </c>
      <c r="C14" s="25">
        <f t="shared" ref="C14:I14" si="0">C10/C6</f>
        <v>0.20966941420560314</v>
      </c>
      <c r="D14" s="25">
        <f t="shared" si="0"/>
        <v>0.23218479745310705</v>
      </c>
      <c r="E14" s="25">
        <f t="shared" si="0"/>
        <v>7.2472451195285739E-2</v>
      </c>
      <c r="F14" s="25">
        <f t="shared" si="0"/>
        <v>0.15607485256866277</v>
      </c>
      <c r="G14" s="25">
        <f t="shared" si="0"/>
        <v>4.796414451229767E-2</v>
      </c>
      <c r="H14" s="25">
        <f t="shared" si="0"/>
        <v>6.8522555272576932E-2</v>
      </c>
      <c r="I14" s="25">
        <f t="shared" si="0"/>
        <v>0.1227930899581391</v>
      </c>
    </row>
    <row r="15" spans="2:12">
      <c r="B15" s="24" t="s">
        <v>19</v>
      </c>
      <c r="C15" s="26">
        <f t="shared" ref="C15:I15" si="1">C7/C8</f>
        <v>0.38031356181060622</v>
      </c>
      <c r="D15" s="26">
        <f t="shared" si="1"/>
        <v>0.24787500335143606</v>
      </c>
      <c r="E15" s="26">
        <f t="shared" si="1"/>
        <v>1.2639976344944062</v>
      </c>
      <c r="F15" s="26">
        <f t="shared" si="1"/>
        <v>0.24445731483444599</v>
      </c>
      <c r="G15" s="26">
        <f t="shared" si="1"/>
        <v>2.371664791541555</v>
      </c>
      <c r="H15" s="26">
        <f t="shared" si="1"/>
        <v>0.74748796174273502</v>
      </c>
      <c r="I15" s="26">
        <f t="shared" si="1"/>
        <v>0.84837844440679866</v>
      </c>
    </row>
    <row r="16" spans="2:12">
      <c r="B16" s="24" t="s">
        <v>20</v>
      </c>
      <c r="C16" s="27">
        <f t="shared" ref="C16:I16" si="2">C12*C5</f>
        <v>172.93339999999998</v>
      </c>
      <c r="D16" s="27">
        <f t="shared" si="2"/>
        <v>299.80509999999998</v>
      </c>
      <c r="E16" s="27">
        <f t="shared" si="2"/>
        <v>112.73</v>
      </c>
      <c r="F16" s="27">
        <f t="shared" si="2"/>
        <v>5365.8</v>
      </c>
      <c r="G16" s="27">
        <f t="shared" si="2"/>
        <v>237.90464</v>
      </c>
      <c r="H16" s="27">
        <f t="shared" si="2"/>
        <v>226.22909846108146</v>
      </c>
      <c r="I16" s="27">
        <f t="shared" si="2"/>
        <v>444</v>
      </c>
      <c r="K16" s="27">
        <f>K12*K5</f>
        <v>0</v>
      </c>
    </row>
    <row r="17" spans="2:9">
      <c r="B17" s="24" t="s">
        <v>21</v>
      </c>
      <c r="C17" s="27">
        <f>C11/C12</f>
        <v>40809053551.401871</v>
      </c>
      <c r="D17" s="27">
        <f t="shared" ref="D17:I17" si="3">D11*D3/D12</f>
        <v>74394231805.929916</v>
      </c>
      <c r="E17" s="27">
        <f t="shared" si="3"/>
        <v>19738472234.542713</v>
      </c>
      <c r="F17" s="27">
        <f t="shared" si="3"/>
        <v>1133693939.3939393</v>
      </c>
      <c r="G17" s="27">
        <f t="shared" si="3"/>
        <v>24956404076.086956</v>
      </c>
      <c r="H17" s="27">
        <f t="shared" si="3"/>
        <v>24241508196.000015</v>
      </c>
      <c r="I17" s="27">
        <f t="shared" si="3"/>
        <v>11494864864.864864</v>
      </c>
    </row>
    <row r="18" spans="2:9">
      <c r="B18" s="24" t="s">
        <v>22</v>
      </c>
      <c r="C18" s="27">
        <f>C9/C17*C5</f>
        <v>558.93610660618822</v>
      </c>
      <c r="D18" s="27">
        <f t="shared" ref="D18:I18" si="4">D9*D3/D17*D5</f>
        <v>1070.3497400137535</v>
      </c>
      <c r="E18" s="27">
        <f t="shared" si="4"/>
        <v>585.786807692509</v>
      </c>
      <c r="F18" s="27">
        <f t="shared" si="4"/>
        <v>27653.291890013606</v>
      </c>
      <c r="G18" s="27">
        <f t="shared" si="4"/>
        <v>1372.1068126667035</v>
      </c>
      <c r="H18" s="27">
        <f t="shared" si="4"/>
        <v>1883.5636624823626</v>
      </c>
      <c r="I18" s="27">
        <f t="shared" si="4"/>
        <v>1957.8558134066916</v>
      </c>
    </row>
    <row r="19" spans="2:9">
      <c r="B19" s="24" t="s">
        <v>23</v>
      </c>
      <c r="C19" s="26">
        <f t="shared" ref="C19:I19" si="5">C13/C18</f>
        <v>1.4133994756517194</v>
      </c>
      <c r="D19" s="26">
        <f t="shared" si="5"/>
        <v>1.5368808329685422</v>
      </c>
      <c r="E19" s="26">
        <f t="shared" si="5"/>
        <v>1.6558925316549158</v>
      </c>
      <c r="F19" s="26">
        <f t="shared" si="5"/>
        <v>0.78923695908629343</v>
      </c>
      <c r="G19" s="26">
        <f t="shared" si="5"/>
        <v>0.70694204783867753</v>
      </c>
      <c r="H19" s="26">
        <f t="shared" si="5"/>
        <v>0.76716281418150944</v>
      </c>
      <c r="I19" s="26">
        <f t="shared" si="5"/>
        <v>1.2360460782804901</v>
      </c>
    </row>
    <row r="20" spans="2:9">
      <c r="B20" s="24" t="s">
        <v>24</v>
      </c>
      <c r="C20" s="27">
        <f t="shared" ref="C20:I20" si="6">SQRT(22.5*C16*C18)</f>
        <v>1474.7275101552957</v>
      </c>
      <c r="D20" s="27">
        <f t="shared" si="6"/>
        <v>2687.0368426754853</v>
      </c>
      <c r="E20" s="27">
        <f t="shared" si="6"/>
        <v>1218.9357258286723</v>
      </c>
      <c r="F20" s="27">
        <f t="shared" si="6"/>
        <v>57780.582867666606</v>
      </c>
      <c r="G20" s="27">
        <f t="shared" si="6"/>
        <v>2710.1084829675988</v>
      </c>
      <c r="H20" s="27">
        <f t="shared" si="6"/>
        <v>3096.3899073424759</v>
      </c>
      <c r="I20" s="27">
        <f t="shared" si="6"/>
        <v>4422.5535130660492</v>
      </c>
    </row>
    <row r="21" spans="2:9">
      <c r="B21" s="28" t="s">
        <v>25</v>
      </c>
      <c r="C21" s="29" t="str">
        <f t="shared" ref="C21:I21" si="7">IF(C13&gt;C20,"Overvalued","Undervalued")</f>
        <v>Undervalued</v>
      </c>
      <c r="D21" s="29" t="str">
        <f t="shared" si="7"/>
        <v>Undervalued</v>
      </c>
      <c r="E21" s="29" t="str">
        <f t="shared" si="7"/>
        <v>Undervalued</v>
      </c>
      <c r="F21" s="29" t="str">
        <f t="shared" si="7"/>
        <v>Undervalued</v>
      </c>
      <c r="G21" s="29" t="str">
        <f t="shared" si="7"/>
        <v>Undervalued</v>
      </c>
      <c r="H21" s="29" t="str">
        <f t="shared" si="7"/>
        <v>Undervalued</v>
      </c>
      <c r="I21" s="29" t="str">
        <f t="shared" si="7"/>
        <v>Undervalued</v>
      </c>
    </row>
    <row r="23" spans="2:9">
      <c r="B23" s="14" t="s">
        <v>26</v>
      </c>
      <c r="C23" s="15"/>
      <c r="D23" s="15"/>
      <c r="E23" s="15"/>
      <c r="F23" s="15"/>
      <c r="G23" s="15"/>
    </row>
    <row r="25" spans="2:9">
      <c r="B25" s="9" t="s">
        <v>27</v>
      </c>
      <c r="C25" s="10" t="s">
        <v>28</v>
      </c>
      <c r="D25" s="10" t="s">
        <v>18</v>
      </c>
      <c r="E25" s="10" t="s">
        <v>19</v>
      </c>
      <c r="F25" s="10" t="s">
        <v>23</v>
      </c>
      <c r="G25" s="10" t="s">
        <v>20</v>
      </c>
    </row>
    <row r="26" spans="2:9">
      <c r="C26" s="3" t="str" cm="1">
        <f t="array" ref="C26:C32">_xlfn.UNIQUE(TRANSPOSE($C$2:$I$2))</f>
        <v>ADMR</v>
      </c>
      <c r="D26" s="5">
        <f t="shared" ref="D26:D32" si="8">HLOOKUP($C26,$C$2:$I$21,MATCH(D$25,$B$2:$B$21,0))*100</f>
        <v>20.966941420560314</v>
      </c>
      <c r="E26" s="5">
        <f t="shared" ref="E26:G32" si="9">HLOOKUP($C26,$C$2:$I$21,MATCH(E$25,$B$2:$B$21,0))</f>
        <v>0.38031356181060622</v>
      </c>
      <c r="F26" s="5">
        <f t="shared" si="9"/>
        <v>1.4133994756517194</v>
      </c>
      <c r="G26" s="5">
        <f t="shared" si="9"/>
        <v>172.93339999999998</v>
      </c>
    </row>
    <row r="27" spans="2:9">
      <c r="C27" s="3" t="str">
        <v>ADRO</v>
      </c>
      <c r="D27" s="5">
        <f t="shared" si="8"/>
        <v>23.218479745310706</v>
      </c>
      <c r="E27" s="5">
        <f t="shared" si="9"/>
        <v>0.24787500335143606</v>
      </c>
      <c r="F27" s="5">
        <f t="shared" si="9"/>
        <v>1.5368808329685422</v>
      </c>
      <c r="G27" s="5">
        <f t="shared" si="9"/>
        <v>299.80509999999998</v>
      </c>
    </row>
    <row r="28" spans="2:9">
      <c r="C28" s="3" t="str">
        <v>AKRA</v>
      </c>
      <c r="D28" s="5">
        <f t="shared" si="8"/>
        <v>7.2472451195285741</v>
      </c>
      <c r="E28" s="5">
        <f t="shared" si="9"/>
        <v>1.2639976344944062</v>
      </c>
      <c r="F28" s="5">
        <f t="shared" si="9"/>
        <v>1.6558925316549158</v>
      </c>
      <c r="G28" s="5">
        <f t="shared" si="9"/>
        <v>112.73</v>
      </c>
    </row>
    <row r="29" spans="2:9">
      <c r="C29" s="3" t="str">
        <v>ITMG</v>
      </c>
      <c r="D29" s="5">
        <f t="shared" si="8"/>
        <v>15.607485256866276</v>
      </c>
      <c r="E29" s="5">
        <f t="shared" si="9"/>
        <v>0.24445731483444599</v>
      </c>
      <c r="F29" s="5">
        <f t="shared" si="9"/>
        <v>0.78923695908629343</v>
      </c>
      <c r="G29" s="5">
        <f t="shared" si="9"/>
        <v>5365.8</v>
      </c>
    </row>
    <row r="30" spans="2:9">
      <c r="C30" s="3" t="str">
        <v>MEDC</v>
      </c>
      <c r="D30" s="5">
        <f t="shared" si="8"/>
        <v>4.7964144512297668</v>
      </c>
      <c r="E30" s="5">
        <f t="shared" si="9"/>
        <v>2.371664791541555</v>
      </c>
      <c r="F30" s="5">
        <f t="shared" si="9"/>
        <v>0.70694204783867753</v>
      </c>
      <c r="G30" s="5">
        <f t="shared" si="9"/>
        <v>237.90464</v>
      </c>
    </row>
    <row r="31" spans="2:9">
      <c r="C31" s="3" t="str">
        <v>PGAS</v>
      </c>
      <c r="D31" s="5">
        <f t="shared" si="8"/>
        <v>6.852255527257693</v>
      </c>
      <c r="E31" s="5">
        <f t="shared" si="9"/>
        <v>0.74748796174273502</v>
      </c>
      <c r="F31" s="5">
        <f t="shared" si="9"/>
        <v>0.76716281418150944</v>
      </c>
      <c r="G31" s="5">
        <f t="shared" si="9"/>
        <v>226.22909846108146</v>
      </c>
    </row>
    <row r="32" spans="2:9">
      <c r="C32" s="3" t="str">
        <v>PTBA</v>
      </c>
      <c r="D32" s="5">
        <f t="shared" si="8"/>
        <v>12.27930899581391</v>
      </c>
      <c r="E32" s="5">
        <f t="shared" si="9"/>
        <v>0.84837844440679866</v>
      </c>
      <c r="F32" s="5">
        <f t="shared" si="9"/>
        <v>1.2360460782804901</v>
      </c>
      <c r="G32" s="5">
        <f t="shared" si="9"/>
        <v>444</v>
      </c>
    </row>
    <row r="34" spans="2:8">
      <c r="C34" s="9" t="s">
        <v>29</v>
      </c>
      <c r="D34" s="13">
        <f>SUM(D26:D32)</f>
        <v>90.968130516567243</v>
      </c>
      <c r="E34" s="13">
        <f t="shared" ref="E34:G34" si="10">SUM(E26:E32)</f>
        <v>6.1041747121819832</v>
      </c>
      <c r="F34" s="13">
        <f t="shared" si="10"/>
        <v>8.105560739662149</v>
      </c>
      <c r="G34" s="13">
        <f t="shared" si="10"/>
        <v>6859.4022384610817</v>
      </c>
      <c r="H34" s="2"/>
    </row>
    <row r="36" spans="2:8">
      <c r="B36" s="9" t="s">
        <v>30</v>
      </c>
      <c r="C36" s="10" t="s">
        <v>28</v>
      </c>
      <c r="D36" s="10" t="s">
        <v>18</v>
      </c>
      <c r="E36" s="10" t="s">
        <v>19</v>
      </c>
      <c r="F36" s="10" t="s">
        <v>23</v>
      </c>
      <c r="G36" s="10" t="s">
        <v>20</v>
      </c>
    </row>
    <row r="37" spans="2:8">
      <c r="C37" s="3" t="str" cm="1">
        <f t="array" ref="C37:C43">_xlfn.UNIQUE(TRANSPOSE($C$2:$I$2))</f>
        <v>ADMR</v>
      </c>
      <c r="D37" s="5">
        <f>D26/D$34</f>
        <v>0.23048666935880127</v>
      </c>
      <c r="E37" s="5">
        <f t="shared" ref="E37:G37" si="11">E26/E$34</f>
        <v>6.2303846095954921E-2</v>
      </c>
      <c r="F37" s="5">
        <f t="shared" si="11"/>
        <v>0.17437405270873732</v>
      </c>
      <c r="G37" s="5">
        <f t="shared" si="11"/>
        <v>2.5211147267374404E-2</v>
      </c>
    </row>
    <row r="38" spans="2:8">
      <c r="C38" s="3" t="str">
        <v>ADRO</v>
      </c>
      <c r="D38" s="5">
        <f t="shared" ref="D38:G38" si="12">D27/D$34</f>
        <v>0.25523751684753071</v>
      </c>
      <c r="E38" s="5">
        <f t="shared" si="12"/>
        <v>4.0607455559349685E-2</v>
      </c>
      <c r="F38" s="5">
        <f t="shared" si="12"/>
        <v>0.18960820630808098</v>
      </c>
      <c r="G38" s="5">
        <f t="shared" si="12"/>
        <v>4.3707175870074319E-2</v>
      </c>
    </row>
    <row r="39" spans="2:8">
      <c r="C39" s="3" t="str">
        <v>AKRA</v>
      </c>
      <c r="D39" s="5">
        <f t="shared" ref="D39:G39" si="13">D28/D$34</f>
        <v>7.9667957100741954E-2</v>
      </c>
      <c r="E39" s="5">
        <f t="shared" si="13"/>
        <v>0.20707101190466756</v>
      </c>
      <c r="F39" s="5">
        <f t="shared" si="13"/>
        <v>0.20429092876354607</v>
      </c>
      <c r="G39" s="5">
        <f t="shared" si="13"/>
        <v>1.6434376652810372E-2</v>
      </c>
    </row>
    <row r="40" spans="2:8">
      <c r="C40" s="3" t="str">
        <v>ITMG</v>
      </c>
      <c r="D40" s="5">
        <f t="shared" ref="D40:G40" si="14">D29/D$34</f>
        <v>0.17157091355223375</v>
      </c>
      <c r="E40" s="5">
        <f t="shared" si="14"/>
        <v>4.0047561932751906E-2</v>
      </c>
      <c r="F40" s="5">
        <f t="shared" si="14"/>
        <v>9.7369816158973096E-2</v>
      </c>
      <c r="G40" s="5">
        <f t="shared" si="14"/>
        <v>0.78225475244965759</v>
      </c>
    </row>
    <row r="41" spans="2:8">
      <c r="C41" s="3" t="str">
        <v>MEDC</v>
      </c>
      <c r="D41" s="5">
        <f t="shared" ref="D41:G41" si="15">D30/D$34</f>
        <v>5.2726316612126456E-2</v>
      </c>
      <c r="E41" s="5">
        <f t="shared" si="15"/>
        <v>0.38853160392157021</v>
      </c>
      <c r="F41" s="5">
        <f t="shared" si="15"/>
        <v>8.7216920648002433E-2</v>
      </c>
      <c r="G41" s="5">
        <f t="shared" si="15"/>
        <v>3.4682998857546853E-2</v>
      </c>
    </row>
    <row r="42" spans="2:8">
      <c r="C42" s="3" t="str">
        <v>PGAS</v>
      </c>
      <c r="D42" s="5">
        <f t="shared" ref="D42:G42" si="16">D31/D$34</f>
        <v>7.5325891478112222E-2</v>
      </c>
      <c r="E42" s="5">
        <f t="shared" si="16"/>
        <v>0.12245520434580416</v>
      </c>
      <c r="F42" s="5">
        <f t="shared" si="16"/>
        <v>9.4646482682885405E-2</v>
      </c>
      <c r="G42" s="5">
        <f t="shared" si="16"/>
        <v>3.298087655402409E-2</v>
      </c>
    </row>
    <row r="43" spans="2:8">
      <c r="C43" s="3" t="str">
        <v>PTBA</v>
      </c>
      <c r="D43" s="5">
        <f t="shared" ref="D43:G43" si="17">D32/D$34</f>
        <v>0.13498473505045358</v>
      </c>
      <c r="E43" s="5">
        <f t="shared" si="17"/>
        <v>0.13898331623990157</v>
      </c>
      <c r="F43" s="5">
        <f t="shared" si="17"/>
        <v>0.15249359272977456</v>
      </c>
      <c r="G43" s="5">
        <f t="shared" si="17"/>
        <v>6.4728672348512414E-2</v>
      </c>
    </row>
    <row r="45" spans="2:8">
      <c r="C45" s="9" t="s">
        <v>29</v>
      </c>
      <c r="D45" s="13">
        <f>SUM(D37:D43)</f>
        <v>0.99999999999999989</v>
      </c>
      <c r="E45" s="13">
        <f t="shared" ref="E45:G45" si="18">SUM(E37:E43)</f>
        <v>1</v>
      </c>
      <c r="F45" s="13">
        <f t="shared" si="18"/>
        <v>1</v>
      </c>
      <c r="G45" s="13">
        <f t="shared" si="18"/>
        <v>1</v>
      </c>
    </row>
    <row r="47" spans="2:8">
      <c r="B47" s="9" t="s">
        <v>31</v>
      </c>
      <c r="C47" s="10" t="s">
        <v>28</v>
      </c>
      <c r="D47" s="10" t="s">
        <v>18</v>
      </c>
      <c r="E47" s="10" t="s">
        <v>19</v>
      </c>
      <c r="F47" s="10" t="s">
        <v>23</v>
      </c>
      <c r="G47" s="10" t="s">
        <v>20</v>
      </c>
    </row>
    <row r="48" spans="2:8">
      <c r="C48" s="3" t="str" cm="1">
        <f t="array" ref="C48:C54">_xlfn.UNIQUE(TRANSPOSE($C$2:$I$2))</f>
        <v>ADMR</v>
      </c>
      <c r="D48" s="5">
        <f>LN(D37)</f>
        <v>-1.4675622518022364</v>
      </c>
      <c r="E48" s="5">
        <f t="shared" ref="E48:G48" si="19">LN(E37)</f>
        <v>-2.7757321200067029</v>
      </c>
      <c r="F48" s="5">
        <f t="shared" si="19"/>
        <v>-1.7465525589159594</v>
      </c>
      <c r="G48" s="5">
        <f t="shared" si="19"/>
        <v>-3.680469030393573</v>
      </c>
    </row>
    <row r="49" spans="2:7">
      <c r="C49" s="3" t="str">
        <v>ADRO</v>
      </c>
      <c r="D49" s="5">
        <f t="shared" ref="D49:G49" si="20">LN(D38)</f>
        <v>-1.3655607287257157</v>
      </c>
      <c r="E49" s="5">
        <f t="shared" si="20"/>
        <v>-3.203803594766454</v>
      </c>
      <c r="F49" s="5">
        <f t="shared" si="20"/>
        <v>-1.6627954078822467</v>
      </c>
      <c r="G49" s="5">
        <f t="shared" si="20"/>
        <v>-3.1302429828079892</v>
      </c>
    </row>
    <row r="50" spans="2:7">
      <c r="C50" s="3" t="str">
        <v>AKRA</v>
      </c>
      <c r="D50" s="5">
        <f t="shared" ref="D50:G50" si="21">LN(D39)</f>
        <v>-2.529887817932658</v>
      </c>
      <c r="E50" s="5">
        <f t="shared" si="21"/>
        <v>-1.5746934918663311</v>
      </c>
      <c r="F50" s="5">
        <f t="shared" si="21"/>
        <v>-1.5882101796933055</v>
      </c>
      <c r="G50" s="5">
        <f t="shared" si="21"/>
        <v>-4.1083800006162488</v>
      </c>
    </row>
    <row r="51" spans="2:7">
      <c r="C51" s="3" t="str">
        <v>ITMG</v>
      </c>
      <c r="D51" s="5">
        <f t="shared" ref="D51:G51" si="22">LN(D40)</f>
        <v>-1.7627586077391277</v>
      </c>
      <c r="E51" s="5">
        <f t="shared" si="22"/>
        <v>-3.2176874829074813</v>
      </c>
      <c r="F51" s="5">
        <f t="shared" si="22"/>
        <v>-2.3292390120596704</v>
      </c>
      <c r="G51" s="5">
        <f t="shared" si="22"/>
        <v>-0.2455748210924984</v>
      </c>
    </row>
    <row r="52" spans="2:7">
      <c r="C52" s="3" t="str">
        <v>MEDC</v>
      </c>
      <c r="D52" s="5">
        <f t="shared" ref="D52:G52" si="23">LN(D41)</f>
        <v>-2.9426405816227428</v>
      </c>
      <c r="E52" s="5">
        <f t="shared" si="23"/>
        <v>-0.94538076390758052</v>
      </c>
      <c r="F52" s="5">
        <f t="shared" si="23"/>
        <v>-2.4393569227628618</v>
      </c>
      <c r="G52" s="5">
        <f t="shared" si="23"/>
        <v>-3.3615056585607026</v>
      </c>
    </row>
    <row r="53" spans="2:7">
      <c r="C53" s="3" t="str">
        <v>PGAS</v>
      </c>
      <c r="D53" s="5">
        <f t="shared" ref="D53:G53" si="24">LN(D42)</f>
        <v>-2.5859313589463642</v>
      </c>
      <c r="E53" s="5">
        <f t="shared" si="24"/>
        <v>-2.1000099946839175</v>
      </c>
      <c r="F53" s="5">
        <f t="shared" si="24"/>
        <v>-2.3576065633180385</v>
      </c>
      <c r="G53" s="5">
        <f t="shared" si="24"/>
        <v>-3.4118273838526365</v>
      </c>
    </row>
    <row r="54" spans="2:7">
      <c r="C54" s="3" t="str">
        <v>PTBA</v>
      </c>
      <c r="D54" s="5">
        <f t="shared" ref="D54:G54" si="25">LN(D43)</f>
        <v>-2.002593580637364</v>
      </c>
      <c r="E54" s="5">
        <f t="shared" si="25"/>
        <v>-1.9734013801063361</v>
      </c>
      <c r="F54" s="5">
        <f t="shared" si="25"/>
        <v>-1.8806326987040449</v>
      </c>
      <c r="G54" s="5">
        <f t="shared" si="25"/>
        <v>-2.7375510172404645</v>
      </c>
    </row>
    <row r="56" spans="2:7">
      <c r="B56" s="9" t="str">
        <f>B36&amp;" x "&amp;B47</f>
        <v>Pij x LN Pij</v>
      </c>
      <c r="C56" s="10" t="s">
        <v>28</v>
      </c>
      <c r="D56" s="10" t="s">
        <v>18</v>
      </c>
      <c r="E56" s="10" t="s">
        <v>19</v>
      </c>
      <c r="F56" s="10" t="s">
        <v>23</v>
      </c>
      <c r="G56" s="10" t="s">
        <v>20</v>
      </c>
    </row>
    <row r="57" spans="2:7">
      <c r="C57" s="3" t="str" cm="1">
        <f t="array" ref="C57:C63">_xlfn.UNIQUE(TRANSPOSE($C$2:$I$2))</f>
        <v>ADMR</v>
      </c>
      <c r="D57" s="5">
        <f>D48*D37</f>
        <v>-0.33825353549459991</v>
      </c>
      <c r="E57" s="5">
        <f t="shared" ref="E57:G57" si="26">E48*E37</f>
        <v>-0.17293878680849628</v>
      </c>
      <c r="F57" s="5">
        <f t="shared" si="26"/>
        <v>-0.30455344796699158</v>
      </c>
      <c r="G57" s="5">
        <f t="shared" si="26"/>
        <v>-9.2788846738263042E-2</v>
      </c>
    </row>
    <row r="58" spans="2:7">
      <c r="C58" s="3" t="str">
        <v>ADRO</v>
      </c>
      <c r="D58" s="5">
        <f t="shared" ref="D58:G58" si="27">D49*D38</f>
        <v>-0.34854232950445618</v>
      </c>
      <c r="E58" s="5">
        <f t="shared" si="27"/>
        <v>-0.13009831209536354</v>
      </c>
      <c r="F58" s="5">
        <f t="shared" si="27"/>
        <v>-0.31527965474586667</v>
      </c>
      <c r="G58" s="5">
        <f t="shared" si="27"/>
        <v>-0.13681408056565481</v>
      </c>
    </row>
    <row r="59" spans="2:7">
      <c r="C59" s="3" t="str">
        <v>AKRA</v>
      </c>
      <c r="D59" s="5">
        <f t="shared" ref="D59:G59" si="28">D50*D39</f>
        <v>-0.20155099414874866</v>
      </c>
      <c r="E59" s="5">
        <f t="shared" si="28"/>
        <v>-0.32607337480045556</v>
      </c>
      <c r="F59" s="5">
        <f t="shared" si="28"/>
        <v>-0.32445693268126374</v>
      </c>
      <c r="G59" s="5">
        <f t="shared" si="28"/>
        <v>-6.7518664363000747E-2</v>
      </c>
    </row>
    <row r="60" spans="2:7">
      <c r="C60" s="3" t="str">
        <v>ITMG</v>
      </c>
      <c r="D60" s="5">
        <f t="shared" ref="D60:G60" si="29">D51*D40</f>
        <v>-0.30243810470186583</v>
      </c>
      <c r="E60" s="5">
        <f t="shared" si="29"/>
        <v>-0.12886053875197795</v>
      </c>
      <c r="F60" s="5">
        <f t="shared" si="29"/>
        <v>-0.22679757439455822</v>
      </c>
      <c r="G60" s="5">
        <f t="shared" si="29"/>
        <v>-0.19210207088158129</v>
      </c>
    </row>
    <row r="61" spans="2:7">
      <c r="C61" s="3" t="str">
        <v>MEDC</v>
      </c>
      <c r="D61" s="5">
        <f t="shared" ref="D61:G61" si="30">D52*D41</f>
        <v>-0.15515459898233269</v>
      </c>
      <c r="E61" s="5">
        <f t="shared" si="30"/>
        <v>-0.36731030451761154</v>
      </c>
      <c r="F61" s="5">
        <f t="shared" si="30"/>
        <v>-0.2127531991647639</v>
      </c>
      <c r="G61" s="5">
        <f t="shared" si="30"/>
        <v>-0.11658709691549812</v>
      </c>
    </row>
    <row r="62" spans="2:7">
      <c r="C62" s="3" t="str">
        <v>PGAS</v>
      </c>
      <c r="D62" s="5">
        <f t="shared" ref="D62:G62" si="31">D53*D42</f>
        <v>-0.1947875849138411</v>
      </c>
      <c r="E62" s="5">
        <f t="shared" si="31"/>
        <v>-0.25715715302725023</v>
      </c>
      <c r="F62" s="5">
        <f t="shared" si="31"/>
        <v>-0.22313916876813772</v>
      </c>
      <c r="G62" s="5">
        <f t="shared" si="31"/>
        <v>-0.11252505777048277</v>
      </c>
    </row>
    <row r="63" spans="2:7">
      <c r="C63" s="3" t="str">
        <v>PTBA</v>
      </c>
      <c r="D63" s="5">
        <f t="shared" ref="D63:G63" si="32">D54*D43</f>
        <v>-0.27031956389607376</v>
      </c>
      <c r="E63" s="5">
        <f t="shared" si="32"/>
        <v>-0.27426986807957709</v>
      </c>
      <c r="F63" s="5">
        <f t="shared" si="32"/>
        <v>-0.28678443683047145</v>
      </c>
      <c r="G63" s="5">
        <f t="shared" si="32"/>
        <v>-0.17719804283229487</v>
      </c>
    </row>
    <row r="65" spans="2:9">
      <c r="C65" s="9" t="s">
        <v>29</v>
      </c>
      <c r="D65" s="13">
        <f>SUM(D57:D63)</f>
        <v>-1.8110467116419182</v>
      </c>
      <c r="E65" s="13">
        <f t="shared" ref="E65:G65" si="33">SUM(E57:E63)</f>
        <v>-1.6567083380807324</v>
      </c>
      <c r="F65" s="13">
        <f t="shared" si="33"/>
        <v>-1.8937644145520534</v>
      </c>
      <c r="G65" s="13">
        <f t="shared" si="33"/>
        <v>-0.89553386006677582</v>
      </c>
    </row>
    <row r="67" spans="2:9">
      <c r="B67" s="12" t="s">
        <v>32</v>
      </c>
      <c r="C67" s="18">
        <f>1/LN(COUNTA(C57:C63))</f>
        <v>0.51389834236975074</v>
      </c>
    </row>
    <row r="69" spans="2:9">
      <c r="B69" s="32" t="s">
        <v>33</v>
      </c>
      <c r="C69" s="17"/>
      <c r="D69" s="10" t="s">
        <v>18</v>
      </c>
      <c r="E69" s="10" t="s">
        <v>19</v>
      </c>
      <c r="F69" s="10" t="s">
        <v>23</v>
      </c>
      <c r="G69" s="10" t="s">
        <v>20</v>
      </c>
    </row>
    <row r="70" spans="2:9">
      <c r="D70" s="16">
        <f>-$C$67*D65</f>
        <v>0.93069390306696975</v>
      </c>
      <c r="E70" s="16">
        <f>-$C$67*E65</f>
        <v>0.85137966872983295</v>
      </c>
      <c r="F70" s="16">
        <f>-$C$67*F65</f>
        <v>0.97320239347712167</v>
      </c>
      <c r="G70" s="16">
        <f>-$C$67*G65</f>
        <v>0.46021336622430042</v>
      </c>
    </row>
    <row r="72" spans="2:9">
      <c r="B72" s="32" t="s">
        <v>34</v>
      </c>
      <c r="C72" s="17"/>
      <c r="D72" s="10" t="s">
        <v>18</v>
      </c>
      <c r="E72" s="10" t="s">
        <v>19</v>
      </c>
      <c r="F72" s="10" t="s">
        <v>23</v>
      </c>
      <c r="G72" s="10" t="s">
        <v>20</v>
      </c>
    </row>
    <row r="73" spans="2:9">
      <c r="D73" s="16">
        <f>1-D70</f>
        <v>6.9306096933030248E-2</v>
      </c>
      <c r="E73" s="16">
        <f>1-E70</f>
        <v>0.14862033127016705</v>
      </c>
      <c r="F73" s="16">
        <f>1-F70</f>
        <v>2.6797606522878326E-2</v>
      </c>
      <c r="G73" s="16">
        <f>1-G70</f>
        <v>0.53978663377569958</v>
      </c>
    </row>
    <row r="75" spans="2:9">
      <c r="B75" s="32" t="s">
        <v>35</v>
      </c>
      <c r="C75" s="17"/>
      <c r="D75" s="10" t="s">
        <v>18</v>
      </c>
      <c r="E75" s="10" t="s">
        <v>19</v>
      </c>
      <c r="F75" s="10" t="s">
        <v>23</v>
      </c>
      <c r="G75" s="10" t="s">
        <v>20</v>
      </c>
    </row>
    <row r="76" spans="2:9">
      <c r="D76" s="4">
        <f>D73/SUM($D$73:$G$73)</f>
        <v>8.8343090432903934E-2</v>
      </c>
      <c r="E76" s="4">
        <f>E73/SUM($D$73:$G$73)</f>
        <v>0.18944335270034732</v>
      </c>
      <c r="F76" s="4">
        <f>F73/SUM($D$73:$G$73)</f>
        <v>3.4158371069771737E-2</v>
      </c>
      <c r="G76" s="4">
        <f>G73/SUM($D$73:$G$73)</f>
        <v>0.688055185796977</v>
      </c>
    </row>
    <row r="77" spans="2:9">
      <c r="D77" t="s">
        <v>36</v>
      </c>
      <c r="E77" t="s">
        <v>37</v>
      </c>
      <c r="F77" t="s">
        <v>37</v>
      </c>
      <c r="G77" t="s">
        <v>36</v>
      </c>
      <c r="I77" t="s">
        <v>38</v>
      </c>
    </row>
    <row r="78" spans="2:9">
      <c r="I78" t="s">
        <v>39</v>
      </c>
    </row>
    <row r="80" spans="2:9">
      <c r="B80" t="s">
        <v>40</v>
      </c>
    </row>
    <row r="82" spans="2:7">
      <c r="B82" t="s">
        <v>27</v>
      </c>
      <c r="C82" s="10" t="s">
        <v>28</v>
      </c>
      <c r="D82" s="10" t="s">
        <v>18</v>
      </c>
      <c r="E82" s="10" t="s">
        <v>19</v>
      </c>
      <c r="F82" s="10" t="s">
        <v>23</v>
      </c>
      <c r="G82" s="10" t="s">
        <v>20</v>
      </c>
    </row>
    <row r="83" spans="2:7">
      <c r="C83" s="3" t="str" cm="1">
        <f t="array" ref="C83:C89">_xlfn.UNIQUE(TRANSPOSE($C$2:$I$2))</f>
        <v>ADMR</v>
      </c>
      <c r="D83" s="5">
        <f>D26/D$91</f>
        <v>0.5421658293576036</v>
      </c>
      <c r="E83" s="5">
        <f t="shared" ref="E83:F83" si="34">E26/E$91</f>
        <v>0.12844614255076717</v>
      </c>
      <c r="F83" s="5">
        <f t="shared" si="34"/>
        <v>0.43953162971943793</v>
      </c>
      <c r="G83" s="5">
        <f t="shared" ref="G83" si="35">G26/G$91</f>
        <v>3.1986760591797725E-2</v>
      </c>
    </row>
    <row r="84" spans="2:7">
      <c r="C84" s="3" t="str">
        <v>ADRO</v>
      </c>
      <c r="D84" s="5">
        <f t="shared" ref="D84:G84" si="36">D27/D$91</f>
        <v>0.60038639279999928</v>
      </c>
      <c r="E84" s="5">
        <f t="shared" si="36"/>
        <v>8.3716678058159438E-2</v>
      </c>
      <c r="F84" s="5">
        <f t="shared" si="36"/>
        <v>0.47793122102847363</v>
      </c>
      <c r="G84" s="5">
        <f t="shared" si="36"/>
        <v>5.5453683082041856E-2</v>
      </c>
    </row>
    <row r="85" spans="2:7">
      <c r="C85" s="3" t="str">
        <v>AKRA</v>
      </c>
      <c r="D85" s="5">
        <f t="shared" ref="D85:G85" si="37">D28/D$91</f>
        <v>0.18740018307744435</v>
      </c>
      <c r="E85" s="5">
        <f t="shared" si="37"/>
        <v>0.42689937106411435</v>
      </c>
      <c r="F85" s="5">
        <f t="shared" si="37"/>
        <v>0.51494086110576354</v>
      </c>
      <c r="G85" s="5">
        <f t="shared" si="37"/>
        <v>2.0851191970512106E-2</v>
      </c>
    </row>
    <row r="86" spans="2:7">
      <c r="C86" s="3" t="str">
        <v>ITMG</v>
      </c>
      <c r="D86" s="5">
        <f t="shared" ref="D86:G86" si="38">D29/D$91</f>
        <v>0.40358033242644237</v>
      </c>
      <c r="E86" s="5">
        <f t="shared" si="38"/>
        <v>8.2562396563811785E-2</v>
      </c>
      <c r="F86" s="5">
        <f t="shared" si="38"/>
        <v>0.24543281134447753</v>
      </c>
      <c r="G86" s="5">
        <f t="shared" si="38"/>
        <v>0.99248936286147305</v>
      </c>
    </row>
    <row r="87" spans="2:7">
      <c r="C87" s="3" t="str">
        <v>MEDC</v>
      </c>
      <c r="D87" s="5">
        <f t="shared" ref="D87:G87" si="39">D30/D$91</f>
        <v>0.12402629295008961</v>
      </c>
      <c r="E87" s="5">
        <f t="shared" si="39"/>
        <v>0.80100008121373933</v>
      </c>
      <c r="F87" s="5">
        <f t="shared" si="39"/>
        <v>0.21984116716928598</v>
      </c>
      <c r="G87" s="5">
        <f t="shared" si="39"/>
        <v>4.4004216440304916E-2</v>
      </c>
    </row>
    <row r="88" spans="2:7">
      <c r="C88" s="3" t="str">
        <v>PGAS</v>
      </c>
      <c r="D88" s="5">
        <f t="shared" ref="D88:G88" si="40">D31/D$91</f>
        <v>0.17718649212530732</v>
      </c>
      <c r="E88" s="5">
        <f t="shared" si="40"/>
        <v>0.25245469772861551</v>
      </c>
      <c r="F88" s="5">
        <f t="shared" si="40"/>
        <v>0.23856830838420226</v>
      </c>
      <c r="G88" s="5">
        <f t="shared" si="40"/>
        <v>4.1844640834985312E-2</v>
      </c>
    </row>
    <row r="89" spans="2:7">
      <c r="C89" s="3" t="str">
        <v>PTBA</v>
      </c>
      <c r="D89" s="5">
        <f t="shared" ref="D89:G89" si="41">D32/D$91</f>
        <v>0.31751992873530999</v>
      </c>
      <c r="E89" s="5">
        <f t="shared" si="41"/>
        <v>0.28652919472154031</v>
      </c>
      <c r="F89" s="5">
        <f t="shared" si="41"/>
        <v>0.38437919113026159</v>
      </c>
      <c r="G89" s="5">
        <f t="shared" si="41"/>
        <v>8.2124804709548249E-2</v>
      </c>
    </row>
    <row r="91" spans="2:7">
      <c r="D91" s="1">
        <f>SQRT(SUMSQ(D26:D32))</f>
        <v>38.672561576599968</v>
      </c>
      <c r="E91" s="1">
        <f t="shared" ref="E91:G91" si="42">SQRT(SUMSQ(E26:E32))</f>
        <v>2.9608795893601147</v>
      </c>
      <c r="F91" s="1">
        <f t="shared" si="42"/>
        <v>3.2156945714098466</v>
      </c>
      <c r="G91" s="1">
        <f t="shared" si="42"/>
        <v>5406.4055503121126</v>
      </c>
    </row>
    <row r="93" spans="2:7">
      <c r="B93" t="s">
        <v>41</v>
      </c>
      <c r="C93" s="10" t="s">
        <v>28</v>
      </c>
      <c r="D93" s="10" t="s">
        <v>18</v>
      </c>
      <c r="E93" s="10" t="s">
        <v>19</v>
      </c>
      <c r="F93" s="10" t="s">
        <v>23</v>
      </c>
      <c r="G93" s="10" t="s">
        <v>20</v>
      </c>
    </row>
    <row r="94" spans="2:7">
      <c r="C94" s="3" t="str" cm="1">
        <f t="array" ref="C94:C100">_xlfn.UNIQUE(TRANSPOSE($C$2:$I$2))</f>
        <v>ADMR</v>
      </c>
      <c r="D94" s="16">
        <f t="shared" ref="D94:G100" si="43">D83*D$76</f>
        <v>4.7896604892569139E-2</v>
      </c>
      <c r="E94" s="16">
        <f t="shared" si="43"/>
        <v>2.4333267886244073E-2</v>
      </c>
      <c r="F94" s="16">
        <f t="shared" si="43"/>
        <v>1.5013684504858071E-2</v>
      </c>
      <c r="G94" s="16">
        <f t="shared" si="43"/>
        <v>2.2008656502032806E-2</v>
      </c>
    </row>
    <row r="95" spans="2:7">
      <c r="C95" s="3" t="str">
        <v>ADRO</v>
      </c>
      <c r="D95" s="16">
        <f t="shared" si="43"/>
        <v>5.3039989393815316E-2</v>
      </c>
      <c r="E95" s="16">
        <f t="shared" si="43"/>
        <v>1.5859568168273327E-2</v>
      </c>
      <c r="F95" s="16">
        <f t="shared" si="43"/>
        <v>1.6325351993719695E-2</v>
      </c>
      <c r="G95" s="16">
        <f t="shared" si="43"/>
        <v>3.815519421614099E-2</v>
      </c>
    </row>
    <row r="96" spans="2:7">
      <c r="C96" s="3" t="str">
        <v>AKRA</v>
      </c>
      <c r="D96" s="16">
        <f t="shared" si="43"/>
        <v>1.6555511320753419E-2</v>
      </c>
      <c r="E96" s="16">
        <f t="shared" si="43"/>
        <v>8.087324812005546E-2</v>
      </c>
      <c r="F96" s="16">
        <f t="shared" si="43"/>
        <v>1.758954101263846E-2</v>
      </c>
      <c r="G96" s="16">
        <f t="shared" si="43"/>
        <v>1.4346770765359142E-2</v>
      </c>
    </row>
    <row r="97" spans="2:9">
      <c r="C97" s="3" t="str">
        <v>ITMG</v>
      </c>
      <c r="D97" s="16">
        <f t="shared" si="43"/>
        <v>3.5653533804490628E-2</v>
      </c>
      <c r="E97" s="16">
        <f t="shared" si="43"/>
        <v>1.5640897212024139E-2</v>
      </c>
      <c r="F97" s="16">
        <f t="shared" si="43"/>
        <v>8.3835850426019452E-3</v>
      </c>
      <c r="G97" s="16">
        <f t="shared" si="43"/>
        <v>0.68288745296517417</v>
      </c>
    </row>
    <row r="98" spans="2:9">
      <c r="C98" s="3" t="str">
        <v>MEDC</v>
      </c>
      <c r="D98" s="16">
        <f t="shared" si="43"/>
        <v>1.0956866014147602E-2</v>
      </c>
      <c r="E98" s="16">
        <f t="shared" si="43"/>
        <v>0.15174414089838126</v>
      </c>
      <c r="F98" s="16">
        <f t="shared" si="43"/>
        <v>7.5094161645801903E-3</v>
      </c>
      <c r="G98" s="16">
        <f t="shared" si="43"/>
        <v>3.027732931868439E-2</v>
      </c>
    </row>
    <row r="99" spans="2:9">
      <c r="C99" s="3" t="str">
        <v>PGAS</v>
      </c>
      <c r="D99" s="16">
        <f t="shared" si="43"/>
        <v>1.5653202297315046E-2</v>
      </c>
      <c r="E99" s="16">
        <f t="shared" si="43"/>
        <v>4.7825864342661679E-2</v>
      </c>
      <c r="F99" s="16">
        <f t="shared" si="43"/>
        <v>8.1491048032753168E-3</v>
      </c>
      <c r="G99" s="16">
        <f t="shared" si="43"/>
        <v>2.879142212432359E-2</v>
      </c>
    </row>
    <row r="100" spans="2:9">
      <c r="C100" s="3" t="str">
        <v>PTBA</v>
      </c>
      <c r="D100" s="16">
        <f t="shared" si="43"/>
        <v>2.8050691778512701E-2</v>
      </c>
      <c r="E100" s="16">
        <f t="shared" si="43"/>
        <v>5.4281051294579254E-2</v>
      </c>
      <c r="F100" s="16">
        <f t="shared" si="43"/>
        <v>1.3129767042126188E-2</v>
      </c>
      <c r="G100" s="16">
        <f t="shared" si="43"/>
        <v>5.6506397762968674E-2</v>
      </c>
    </row>
    <row r="102" spans="2:9">
      <c r="B102" t="s">
        <v>42</v>
      </c>
      <c r="D102" s="2">
        <f>MAX(D94:D100)</f>
        <v>5.3039989393815316E-2</v>
      </c>
      <c r="E102" s="2">
        <f>MIN(E94:E100)</f>
        <v>1.5640897212024139E-2</v>
      </c>
      <c r="F102" s="2">
        <f>MIN(F94:F100)</f>
        <v>7.5094161645801903E-3</v>
      </c>
      <c r="G102" s="2">
        <f>MAX(G94:G100)</f>
        <v>0.68288745296517417</v>
      </c>
    </row>
    <row r="103" spans="2:9">
      <c r="B103" t="s">
        <v>43</v>
      </c>
      <c r="D103" s="2">
        <f>MIN(D94:D100)</f>
        <v>1.0956866014147602E-2</v>
      </c>
      <c r="E103" s="2">
        <f>MAX(E94:E100)</f>
        <v>0.15174414089838126</v>
      </c>
      <c r="F103" s="2">
        <f>MAX(F94:F100)</f>
        <v>1.758954101263846E-2</v>
      </c>
      <c r="G103" s="2">
        <f>MIN(G94:G100)</f>
        <v>1.4346770765359142E-2</v>
      </c>
    </row>
    <row r="105" spans="2:9" s="31" customFormat="1" ht="29.1">
      <c r="C105" s="8" t="s">
        <v>28</v>
      </c>
      <c r="D105" s="8" t="s">
        <v>44</v>
      </c>
      <c r="E105" s="8" t="s">
        <v>45</v>
      </c>
      <c r="F105" s="8" t="s">
        <v>46</v>
      </c>
      <c r="G105" s="8" t="s">
        <v>47</v>
      </c>
      <c r="H105" s="8" t="str">
        <f>"Rank "&amp;Sheet2!N12</f>
        <v>Rank 2025-04-08 VS 2025-09-01</v>
      </c>
      <c r="I105" s="8" t="str">
        <f>"Rank "&amp;Sheet2!O12</f>
        <v>Rank 2025-04-08 VS 2026-04-01</v>
      </c>
    </row>
    <row r="106" spans="2:9">
      <c r="C106" s="3" t="str" cm="1">
        <f t="array" ref="C106:C112">_xlfn.UNIQUE(TRANSPOSE($C$2:$I$2))</f>
        <v>ADMR</v>
      </c>
      <c r="D106" s="5">
        <f>SQRT((D94-$D$102)^2+(E94-$E$102)^2+(F94-$F$102)^2+(G94-$G$102)^2)</f>
        <v>0.66099856986982874</v>
      </c>
      <c r="E106" s="5">
        <f>SQRT((D94-$D$103)^2+(E94-$E$103)^2+(F94-$F$103)^2+(G94-$G$103)^2)</f>
        <v>0.13290377872698517</v>
      </c>
      <c r="F106" s="5">
        <f>E106/SUM(D106:E106)</f>
        <v>0.16740570041376815</v>
      </c>
      <c r="G106" s="3">
        <f>_xlfn.RANK.EQ(F106,$F$106:$F$112)</f>
        <v>3</v>
      </c>
      <c r="H106" s="3">
        <f>VLOOKUP(C106,Sheet2!$E$13:$Q$19,12,0)</f>
        <v>1</v>
      </c>
      <c r="I106" s="3">
        <f>VLOOKUP(C106,Sheet2!$E$13:$Q$19,13,0)</f>
        <v>1</v>
      </c>
    </row>
    <row r="107" spans="2:9">
      <c r="C107" s="3" t="str">
        <v>ADRO</v>
      </c>
      <c r="D107" s="5">
        <f t="shared" ref="D107:D112" si="44">SQRT((D95-$D$102)^2+(E95-$E$102)^2+(F95-$F$102)^2+(G95-$G$102)^2)</f>
        <v>0.64479256665470397</v>
      </c>
      <c r="E107" s="5">
        <f t="shared" ref="E107:E112" si="45">SQRT((D95-$D$103)^2+(E95-$E$103)^2+(F95-$F$103)^2+(G95-$G$103)^2)</f>
        <v>0.14423607586356341</v>
      </c>
      <c r="F107" s="5">
        <f t="shared" ref="F107:F112" si="46">E107/SUM(D107:E107)</f>
        <v>0.18280207851925237</v>
      </c>
      <c r="G107" s="3">
        <f t="shared" ref="G107:G112" si="47">_xlfn.RANK.EQ(F107,$F$106:$F$112)</f>
        <v>2</v>
      </c>
      <c r="H107" s="3">
        <f>VLOOKUP(C107,Sheet2!$E$13:$Q$19,12,0)</f>
        <v>5</v>
      </c>
      <c r="I107" s="3">
        <f>VLOOKUP(C107,Sheet2!$E$13:$Q$19,13,0)</f>
        <v>3</v>
      </c>
    </row>
    <row r="108" spans="2:9">
      <c r="C108" s="3" t="str">
        <v>AKRA</v>
      </c>
      <c r="D108" s="5">
        <f t="shared" si="44"/>
        <v>0.67278126417016004</v>
      </c>
      <c r="E108" s="5">
        <f t="shared" si="45"/>
        <v>7.1091689194069163E-2</v>
      </c>
      <c r="F108" s="5">
        <f t="shared" si="46"/>
        <v>9.556966532060468E-2</v>
      </c>
      <c r="G108" s="3">
        <f t="shared" si="47"/>
        <v>6</v>
      </c>
      <c r="H108" s="3">
        <f>VLOOKUP(C108,Sheet2!$E$13:$Q$19,12,0)</f>
        <v>2</v>
      </c>
      <c r="I108" s="3">
        <f>VLOOKUP(C108,Sheet2!$E$13:$Q$19,13,0)</f>
        <v>4</v>
      </c>
    </row>
    <row r="109" spans="2:9">
      <c r="C109" s="3" t="str">
        <v>ITMG</v>
      </c>
      <c r="D109" s="5">
        <f t="shared" si="44"/>
        <v>1.7408417768047201E-2</v>
      </c>
      <c r="E109" s="5">
        <f t="shared" si="45"/>
        <v>0.68276307144089943</v>
      </c>
      <c r="F109" s="5">
        <f t="shared" si="46"/>
        <v>0.97513692283055509</v>
      </c>
      <c r="G109" s="3">
        <f t="shared" si="47"/>
        <v>1</v>
      </c>
      <c r="H109" s="3">
        <f>VLOOKUP(C109,Sheet2!$E$13:$Q$19,12,0)</f>
        <v>6</v>
      </c>
      <c r="I109" s="3">
        <f>VLOOKUP(C109,Sheet2!$E$13:$Q$19,13,0)</f>
        <v>6</v>
      </c>
    </row>
    <row r="110" spans="2:9">
      <c r="C110" s="3" t="str">
        <v>MEDC</v>
      </c>
      <c r="D110" s="5">
        <f t="shared" si="44"/>
        <v>0.66797833475437129</v>
      </c>
      <c r="E110" s="5">
        <f t="shared" si="45"/>
        <v>1.8851833140927327E-2</v>
      </c>
      <c r="F110" s="5">
        <f t="shared" si="46"/>
        <v>2.7447590426460604E-2</v>
      </c>
      <c r="G110" s="3">
        <f t="shared" si="47"/>
        <v>7</v>
      </c>
      <c r="H110" s="3">
        <f>VLOOKUP(C110,Sheet2!$E$13:$Q$19,12,0)</f>
        <v>3</v>
      </c>
      <c r="I110" s="3">
        <f>VLOOKUP(C110,Sheet2!$E$13:$Q$19,13,0)</f>
        <v>2</v>
      </c>
    </row>
    <row r="111" spans="2:9">
      <c r="C111" s="3" t="str">
        <v>PGAS</v>
      </c>
      <c r="D111" s="5">
        <f t="shared" si="44"/>
        <v>0.65595401570682421</v>
      </c>
      <c r="E111" s="5">
        <f t="shared" si="45"/>
        <v>0.10544587979385776</v>
      </c>
      <c r="F111" s="5">
        <f t="shared" si="46"/>
        <v>0.13848948550816201</v>
      </c>
      <c r="G111" s="3">
        <f t="shared" si="47"/>
        <v>5</v>
      </c>
      <c r="H111" s="3">
        <f>VLOOKUP(C111,Sheet2!$E$13:$Q$19,12,0)</f>
        <v>4</v>
      </c>
      <c r="I111" s="3">
        <f>VLOOKUP(C111,Sheet2!$E$13:$Q$19,13,0)</f>
        <v>5</v>
      </c>
    </row>
    <row r="112" spans="2:9">
      <c r="C112" s="3" t="str">
        <v>PTBA</v>
      </c>
      <c r="D112" s="5">
        <f t="shared" si="44"/>
        <v>0.62809421360417339</v>
      </c>
      <c r="E112" s="5">
        <f t="shared" si="45"/>
        <v>0.10765025056555529</v>
      </c>
      <c r="F112" s="5">
        <f t="shared" si="46"/>
        <v>0.14631472720224434</v>
      </c>
      <c r="G112" s="3">
        <f t="shared" si="47"/>
        <v>4</v>
      </c>
      <c r="H112" s="3">
        <f>VLOOKUP(C112,Sheet2!$E$13:$Q$19,12,0)</f>
        <v>7</v>
      </c>
      <c r="I112" s="3">
        <f>VLOOKUP(C112,Sheet2!$E$13:$Q$19,13,0)</f>
        <v>7</v>
      </c>
    </row>
  </sheetData>
  <pageMargins left="0.23622047244094491" right="0.23622047244094491" top="0.74803149606299213" bottom="0.74803149606299213" header="0.31496062992125984" footer="0.31496062992125984"/>
  <pageSetup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1678-120E-4580-99E8-DA38D0228D5A}">
  <dimension ref="B2:Q19"/>
  <sheetViews>
    <sheetView showGridLines="0" tabSelected="1" workbookViewId="0">
      <selection activeCell="P1" sqref="P1:Q1048576"/>
    </sheetView>
  </sheetViews>
  <sheetFormatPr defaultRowHeight="14.45" outlineLevelCol="1"/>
  <cols>
    <col min="2" max="3" width="8.7109375" hidden="1" customWidth="1" outlineLevel="1"/>
    <col min="4" max="4" width="1.85546875" bestFit="1" customWidth="1" collapsed="1"/>
    <col min="5" max="5" width="8" bestFit="1" customWidth="1"/>
    <col min="6" max="6" width="21.140625" bestFit="1" customWidth="1"/>
    <col min="7" max="7" width="15.5703125" bestFit="1" customWidth="1"/>
    <col min="8" max="8" width="21.140625" bestFit="1" customWidth="1"/>
    <col min="9" max="9" width="1.42578125" hidden="1" customWidth="1"/>
    <col min="10" max="10" width="1.85546875" hidden="1" customWidth="1"/>
    <col min="11" max="11" width="15.5703125" bestFit="1" customWidth="1"/>
    <col min="12" max="12" width="21.140625" bestFit="1" customWidth="1"/>
    <col min="13" max="13" width="15.5703125" bestFit="1" customWidth="1"/>
    <col min="14" max="15" width="14" customWidth="1"/>
    <col min="16" max="17" width="17.5703125" customWidth="1"/>
  </cols>
  <sheetData>
    <row r="2" spans="2:17" s="7" customFormat="1" ht="33.950000000000003" customHeight="1">
      <c r="B2" s="7" t="s">
        <v>48</v>
      </c>
      <c r="D2" s="8"/>
      <c r="E2" s="8" t="str" cm="1">
        <f t="array" ref="E2:I2">_xlfn.TEXTSPLIT(TRIM(B2)," ")</f>
        <v>Ticker</v>
      </c>
      <c r="F2" s="8" t="str">
        <v>Actual_Date_2025-04-01</v>
      </c>
      <c r="G2" s="8" t="str">
        <v>Close_2025-04-01</v>
      </c>
      <c r="H2" s="8" t="str">
        <v>Actual_Date_2025-09-01</v>
      </c>
      <c r="I2" s="8" t="str">
        <v>\</v>
      </c>
      <c r="J2" s="8"/>
      <c r="K2" s="8" t="str" cm="1">
        <f t="array" ref="K2:M2">_xlfn.TEXTSPLIT(TRIM(B11)," ")</f>
        <v>Close_2025-09-01</v>
      </c>
      <c r="L2" s="8" t="str">
        <v>Actual_Date_2026-04-01</v>
      </c>
      <c r="M2" s="8" t="str">
        <v>Close_2026-04-01</v>
      </c>
      <c r="N2" s="8" t="str">
        <f>F3&amp;" VS "&amp;H3</f>
        <v>2025-04-08 VS 2025-09-01</v>
      </c>
      <c r="O2" s="8" t="str">
        <f>F3&amp;" VS "&amp;L3</f>
        <v>2025-04-08 VS 2026-04-01</v>
      </c>
    </row>
    <row r="3" spans="2:17">
      <c r="B3" t="s">
        <v>49</v>
      </c>
      <c r="D3" s="3" t="str" cm="1">
        <f t="array" ref="D3:H3">_xlfn.TEXTSPLIT(TRIM(B3)," ")</f>
        <v>0</v>
      </c>
      <c r="E3" s="3" t="str">
        <v>ADRO.JK</v>
      </c>
      <c r="F3" s="3" t="str">
        <v>2025-04-08</v>
      </c>
      <c r="G3" s="6" t="str">
        <v>1645.0</v>
      </c>
      <c r="H3" s="3" t="str">
        <v>2025-09-01</v>
      </c>
      <c r="I3" s="3"/>
      <c r="J3" s="3" t="str" cm="1">
        <f t="array" ref="J3:M3">_xlfn.TEXTSPLIT(TRIM(B12)," ")</f>
        <v>0</v>
      </c>
      <c r="K3" s="3" t="str">
        <v>1720.0</v>
      </c>
      <c r="L3" s="3" t="str">
        <v>2026-04-01</v>
      </c>
      <c r="M3" s="3" t="str">
        <v>2490.0</v>
      </c>
      <c r="N3" s="4">
        <f>K3/G3-1</f>
        <v>4.5592705167173175E-2</v>
      </c>
      <c r="O3" s="4">
        <f>M3/G3-1</f>
        <v>0.51367781155015191</v>
      </c>
    </row>
    <row r="4" spans="2:17">
      <c r="B4" t="s">
        <v>50</v>
      </c>
      <c r="D4" s="3" t="str" cm="1">
        <f t="array" ref="D4:H4">_xlfn.TEXTSPLIT(TRIM(B4)," ")</f>
        <v>1</v>
      </c>
      <c r="E4" s="3" t="str">
        <v>ADMR.JK</v>
      </c>
      <c r="F4" s="3" t="str">
        <v>2025-04-08</v>
      </c>
      <c r="G4" s="6" t="str">
        <v>790.0</v>
      </c>
      <c r="H4" s="3" t="str">
        <v>2025-09-01</v>
      </c>
      <c r="I4" s="3"/>
      <c r="J4" s="3" t="str" cm="1">
        <f t="array" ref="J4:M4">_xlfn.TEXTSPLIT(TRIM(B13)," ")</f>
        <v>1</v>
      </c>
      <c r="K4" s="3" t="str">
        <v>990.0</v>
      </c>
      <c r="L4" s="3" t="str">
        <v>2026-04-01</v>
      </c>
      <c r="M4" s="3" t="str">
        <v>2010.0</v>
      </c>
      <c r="N4" s="4">
        <f t="shared" ref="N4:N9" si="0">K4/G4-1</f>
        <v>0.25316455696202533</v>
      </c>
      <c r="O4" s="4">
        <f t="shared" ref="O4:O9" si="1">M4/G4-1</f>
        <v>1.5443037974683542</v>
      </c>
    </row>
    <row r="5" spans="2:17">
      <c r="B5" t="s">
        <v>51</v>
      </c>
      <c r="D5" s="3" t="str" cm="1">
        <f t="array" ref="D5:H5">_xlfn.TEXTSPLIT(TRIM(B5)," ")</f>
        <v>2</v>
      </c>
      <c r="E5" s="3" t="str">
        <v>AKRA.JK</v>
      </c>
      <c r="F5" s="3" t="str">
        <v>2025-04-08</v>
      </c>
      <c r="G5" s="6" t="str">
        <v>970.0</v>
      </c>
      <c r="H5" s="3" t="str">
        <v>2025-09-01</v>
      </c>
      <c r="I5" s="3"/>
      <c r="J5" s="3" t="str" cm="1">
        <f t="array" ref="J5:M5">_xlfn.TEXTSPLIT(TRIM(B14)," ")</f>
        <v>2</v>
      </c>
      <c r="K5" s="3" t="str">
        <v>1190.0</v>
      </c>
      <c r="L5" s="3" t="str">
        <v>2026-04-01</v>
      </c>
      <c r="M5" s="3" t="str">
        <v>1345.0</v>
      </c>
      <c r="N5" s="4">
        <f t="shared" si="0"/>
        <v>0.22680412371134029</v>
      </c>
      <c r="O5" s="4">
        <f t="shared" si="1"/>
        <v>0.38659793814432986</v>
      </c>
    </row>
    <row r="6" spans="2:17">
      <c r="B6" t="s">
        <v>52</v>
      </c>
      <c r="D6" s="3" t="str" cm="1">
        <f t="array" ref="D6:H6">_xlfn.TEXTSPLIT(TRIM(B6)," ")</f>
        <v>3</v>
      </c>
      <c r="E6" s="3" t="str">
        <v>ITMG.JK</v>
      </c>
      <c r="F6" s="3" t="str">
        <v>2025-04-08</v>
      </c>
      <c r="G6" s="6" t="str">
        <v>21825.0</v>
      </c>
      <c r="H6" s="3" t="str">
        <v>2025-09-01</v>
      </c>
      <c r="I6" s="3"/>
      <c r="J6" s="3" t="str" cm="1">
        <f t="array" ref="J6:M6">_xlfn.TEXTSPLIT(TRIM(B15)," ")</f>
        <v>3</v>
      </c>
      <c r="K6" s="3" t="str">
        <v>22200.0</v>
      </c>
      <c r="L6" s="3" t="str">
        <v>2026-04-01</v>
      </c>
      <c r="M6" s="3" t="str">
        <v>27775.0</v>
      </c>
      <c r="N6" s="4">
        <f t="shared" si="0"/>
        <v>1.7182130584192379E-2</v>
      </c>
      <c r="O6" s="4">
        <f t="shared" si="1"/>
        <v>0.27262313860251997</v>
      </c>
    </row>
    <row r="7" spans="2:17">
      <c r="B7" t="s">
        <v>53</v>
      </c>
      <c r="D7" s="3" t="str" cm="1">
        <f t="array" ref="D7:H7">_xlfn.TEXTSPLIT(TRIM(B7)," ")</f>
        <v>4</v>
      </c>
      <c r="E7" s="3" t="str">
        <v>MEDC.JK</v>
      </c>
      <c r="F7" s="3" t="str">
        <v>2025-04-08</v>
      </c>
      <c r="G7" s="6" t="str">
        <v>970.0</v>
      </c>
      <c r="H7" s="3" t="str">
        <v>2025-09-01</v>
      </c>
      <c r="I7" s="3"/>
      <c r="J7" s="3" t="str" cm="1">
        <f t="array" ref="J7:M7">_xlfn.TEXTSPLIT(TRIM(B16)," ")</f>
        <v>4</v>
      </c>
      <c r="K7" s="3" t="str">
        <v>1135.0</v>
      </c>
      <c r="L7" s="3" t="str">
        <v>2026-04-01</v>
      </c>
      <c r="M7" s="3" t="str">
        <v>1685.0</v>
      </c>
      <c r="N7" s="4">
        <f t="shared" si="0"/>
        <v>0.17010309278350522</v>
      </c>
      <c r="O7" s="4">
        <f t="shared" si="1"/>
        <v>0.73711340206185572</v>
      </c>
    </row>
    <row r="8" spans="2:17">
      <c r="B8" t="s">
        <v>54</v>
      </c>
      <c r="D8" s="3" t="str" cm="1">
        <f t="array" ref="D8:H8">_xlfn.TEXTSPLIT(TRIM(B8)," ")</f>
        <v>5</v>
      </c>
      <c r="E8" s="3" t="str">
        <v>PGAS.JK</v>
      </c>
      <c r="F8" s="3" t="str">
        <v>2025-04-08</v>
      </c>
      <c r="G8" s="6" t="str">
        <v>1445.0</v>
      </c>
      <c r="H8" s="3" t="str">
        <v>2025-09-01</v>
      </c>
      <c r="I8" s="3"/>
      <c r="J8" s="3" t="str" cm="1">
        <f t="array" ref="J8:M8">_xlfn.TEXTSPLIT(TRIM(B17)," ")</f>
        <v>5</v>
      </c>
      <c r="K8" s="3" t="str">
        <v>1665.0</v>
      </c>
      <c r="L8" s="3" t="str">
        <v>2026-04-01</v>
      </c>
      <c r="M8" s="3" t="str">
        <v>1840.0</v>
      </c>
      <c r="N8" s="4">
        <f t="shared" si="0"/>
        <v>0.15224913494809678</v>
      </c>
      <c r="O8" s="4">
        <f t="shared" si="1"/>
        <v>0.27335640138408301</v>
      </c>
    </row>
    <row r="9" spans="2:17">
      <c r="B9" t="s">
        <v>55</v>
      </c>
      <c r="D9" s="3" t="str" cm="1">
        <f t="array" ref="D9:H9">_xlfn.TEXTSPLIT(TRIM(B9)," ")</f>
        <v>6</v>
      </c>
      <c r="E9" s="3" t="str">
        <v>PTBA.JK</v>
      </c>
      <c r="F9" s="3" t="str">
        <v>2025-04-08</v>
      </c>
      <c r="G9" s="6" t="str">
        <v>2420.0</v>
      </c>
      <c r="H9" s="3" t="str">
        <v>2025-09-01</v>
      </c>
      <c r="I9" s="3"/>
      <c r="J9" s="3" t="str" cm="1">
        <f t="array" ref="J9:M9">_xlfn.TEXTSPLIT(TRIM(B18)," ")</f>
        <v>6</v>
      </c>
      <c r="K9" s="3" t="str">
        <v>2400.0</v>
      </c>
      <c r="L9" s="3" t="str">
        <v>2026-04-01</v>
      </c>
      <c r="M9" s="3" t="str">
        <v>2980.0</v>
      </c>
      <c r="N9" s="4">
        <f t="shared" si="0"/>
        <v>-8.2644628099173278E-3</v>
      </c>
      <c r="O9" s="4">
        <f t="shared" si="1"/>
        <v>0.23140495867768585</v>
      </c>
    </row>
    <row r="11" spans="2:17">
      <c r="B11" t="s">
        <v>56</v>
      </c>
    </row>
    <row r="12" spans="2:17" s="7" customFormat="1" ht="33.950000000000003" customHeight="1">
      <c r="B12" s="7" t="s">
        <v>57</v>
      </c>
      <c r="E12" s="8" t="str">
        <f>E2</f>
        <v>Ticker</v>
      </c>
      <c r="F12" s="8" t="str">
        <f t="shared" ref="F12:O12" si="2">F2</f>
        <v>Actual_Date_2025-04-01</v>
      </c>
      <c r="G12" s="8" t="str">
        <f t="shared" si="2"/>
        <v>Close_2025-04-01</v>
      </c>
      <c r="H12" s="8" t="str">
        <f t="shared" si="2"/>
        <v>Actual_Date_2025-09-01</v>
      </c>
      <c r="I12" s="8" t="str">
        <f t="shared" si="2"/>
        <v>\</v>
      </c>
      <c r="J12" s="8">
        <f t="shared" si="2"/>
        <v>0</v>
      </c>
      <c r="K12" s="8" t="str">
        <f t="shared" si="2"/>
        <v>Close_2025-09-01</v>
      </c>
      <c r="L12" s="8" t="str">
        <f t="shared" si="2"/>
        <v>Actual_Date_2026-04-01</v>
      </c>
      <c r="M12" s="8" t="str">
        <f t="shared" si="2"/>
        <v>Close_2026-04-01</v>
      </c>
      <c r="N12" s="8" t="str">
        <f t="shared" si="2"/>
        <v>2025-04-08 VS 2025-09-01</v>
      </c>
      <c r="O12" s="8" t="str">
        <f t="shared" si="2"/>
        <v>2025-04-08 VS 2026-04-01</v>
      </c>
      <c r="P12" s="8" t="str">
        <f>Sheet1!H105</f>
        <v>Rank 2025-04-08 VS 2025-09-01</v>
      </c>
      <c r="Q12" s="8" t="str">
        <f>Sheet1!I105</f>
        <v>Rank 2025-04-08 VS 2026-04-01</v>
      </c>
    </row>
    <row r="13" spans="2:17">
      <c r="B13" t="s">
        <v>58</v>
      </c>
      <c r="E13" s="3" t="str">
        <f>LEFT(E3,4)</f>
        <v>ADRO</v>
      </c>
      <c r="F13" s="3" t="str">
        <f t="shared" ref="F13:O13" si="3">F3</f>
        <v>2025-04-08</v>
      </c>
      <c r="G13" s="6">
        <f>_xlfn.NUMBERVALUE(G3)</f>
        <v>1645</v>
      </c>
      <c r="H13" s="3" t="str">
        <f t="shared" si="3"/>
        <v>2025-09-01</v>
      </c>
      <c r="I13" s="3">
        <f t="shared" si="3"/>
        <v>0</v>
      </c>
      <c r="J13" s="3" t="str">
        <f t="shared" si="3"/>
        <v>0</v>
      </c>
      <c r="K13" s="6">
        <f>_xlfn.NUMBERVALUE(K3)</f>
        <v>1720</v>
      </c>
      <c r="L13" s="3" t="str">
        <f t="shared" si="3"/>
        <v>2026-04-01</v>
      </c>
      <c r="M13" s="6">
        <f>_xlfn.NUMBERVALUE(M3)</f>
        <v>2490</v>
      </c>
      <c r="N13" s="4">
        <f t="shared" si="3"/>
        <v>4.5592705167173175E-2</v>
      </c>
      <c r="O13" s="4">
        <f t="shared" si="3"/>
        <v>0.51367781155015191</v>
      </c>
      <c r="P13" s="3">
        <f>_xlfn.RANK.EQ(N13,$N$13:$N$19)</f>
        <v>5</v>
      </c>
      <c r="Q13" s="3">
        <f t="shared" ref="Q13:Q19" si="4">_xlfn.RANK.EQ(O13,$O$13:$O$19)</f>
        <v>3</v>
      </c>
    </row>
    <row r="14" spans="2:17">
      <c r="B14" t="s">
        <v>59</v>
      </c>
      <c r="E14" s="3" t="str">
        <f t="shared" ref="E14:E19" si="5">LEFT(E4,4)</f>
        <v>ADMR</v>
      </c>
      <c r="F14" s="3" t="str">
        <f t="shared" ref="F14:O14" si="6">F4</f>
        <v>2025-04-08</v>
      </c>
      <c r="G14" s="6">
        <f t="shared" ref="G14:G19" si="7">_xlfn.NUMBERVALUE(G4)</f>
        <v>790</v>
      </c>
      <c r="H14" s="3" t="str">
        <f t="shared" si="6"/>
        <v>2025-09-01</v>
      </c>
      <c r="I14" s="3">
        <f t="shared" si="6"/>
        <v>0</v>
      </c>
      <c r="J14" s="3" t="str">
        <f t="shared" si="6"/>
        <v>1</v>
      </c>
      <c r="K14" s="6">
        <f t="shared" ref="K14:K19" si="8">_xlfn.NUMBERVALUE(K4)</f>
        <v>990</v>
      </c>
      <c r="L14" s="3" t="str">
        <f t="shared" si="6"/>
        <v>2026-04-01</v>
      </c>
      <c r="M14" s="6">
        <f t="shared" ref="M14:M19" si="9">_xlfn.NUMBERVALUE(M4)</f>
        <v>2010</v>
      </c>
      <c r="N14" s="4">
        <f t="shared" si="6"/>
        <v>0.25316455696202533</v>
      </c>
      <c r="O14" s="4">
        <f t="shared" si="6"/>
        <v>1.5443037974683542</v>
      </c>
      <c r="P14" s="3">
        <f t="shared" ref="P14:P19" si="10">_xlfn.RANK.EQ(N14,$N$13:$N$19)</f>
        <v>1</v>
      </c>
      <c r="Q14" s="3">
        <f t="shared" si="4"/>
        <v>1</v>
      </c>
    </row>
    <row r="15" spans="2:17">
      <c r="B15" t="s">
        <v>60</v>
      </c>
      <c r="E15" s="3" t="str">
        <f t="shared" si="5"/>
        <v>AKRA</v>
      </c>
      <c r="F15" s="3" t="str">
        <f t="shared" ref="F15:O15" si="11">F5</f>
        <v>2025-04-08</v>
      </c>
      <c r="G15" s="6">
        <f t="shared" si="7"/>
        <v>970</v>
      </c>
      <c r="H15" s="3" t="str">
        <f t="shared" si="11"/>
        <v>2025-09-01</v>
      </c>
      <c r="I15" s="3">
        <f t="shared" si="11"/>
        <v>0</v>
      </c>
      <c r="J15" s="3" t="str">
        <f t="shared" si="11"/>
        <v>2</v>
      </c>
      <c r="K15" s="6">
        <f t="shared" si="8"/>
        <v>1190</v>
      </c>
      <c r="L15" s="3" t="str">
        <f t="shared" si="11"/>
        <v>2026-04-01</v>
      </c>
      <c r="M15" s="6">
        <f t="shared" si="9"/>
        <v>1345</v>
      </c>
      <c r="N15" s="4">
        <f t="shared" si="11"/>
        <v>0.22680412371134029</v>
      </c>
      <c r="O15" s="4">
        <f t="shared" si="11"/>
        <v>0.38659793814432986</v>
      </c>
      <c r="P15" s="3">
        <f t="shared" si="10"/>
        <v>2</v>
      </c>
      <c r="Q15" s="3">
        <f t="shared" si="4"/>
        <v>4</v>
      </c>
    </row>
    <row r="16" spans="2:17">
      <c r="B16" t="s">
        <v>61</v>
      </c>
      <c r="E16" s="3" t="str">
        <f t="shared" si="5"/>
        <v>ITMG</v>
      </c>
      <c r="F16" s="3" t="str">
        <f t="shared" ref="F16:O16" si="12">F6</f>
        <v>2025-04-08</v>
      </c>
      <c r="G16" s="6">
        <f t="shared" si="7"/>
        <v>21825</v>
      </c>
      <c r="H16" s="3" t="str">
        <f t="shared" si="12"/>
        <v>2025-09-01</v>
      </c>
      <c r="I16" s="3">
        <f t="shared" si="12"/>
        <v>0</v>
      </c>
      <c r="J16" s="3" t="str">
        <f t="shared" si="12"/>
        <v>3</v>
      </c>
      <c r="K16" s="6">
        <f t="shared" si="8"/>
        <v>22200</v>
      </c>
      <c r="L16" s="3" t="str">
        <f t="shared" si="12"/>
        <v>2026-04-01</v>
      </c>
      <c r="M16" s="6">
        <f t="shared" si="9"/>
        <v>27775</v>
      </c>
      <c r="N16" s="4">
        <f t="shared" si="12"/>
        <v>1.7182130584192379E-2</v>
      </c>
      <c r="O16" s="4">
        <f t="shared" si="12"/>
        <v>0.27262313860251997</v>
      </c>
      <c r="P16" s="3">
        <f t="shared" si="10"/>
        <v>6</v>
      </c>
      <c r="Q16" s="3">
        <f t="shared" si="4"/>
        <v>6</v>
      </c>
    </row>
    <row r="17" spans="2:17">
      <c r="B17" t="s">
        <v>62</v>
      </c>
      <c r="E17" s="3" t="str">
        <f t="shared" si="5"/>
        <v>MEDC</v>
      </c>
      <c r="F17" s="3" t="str">
        <f t="shared" ref="F17:O17" si="13">F7</f>
        <v>2025-04-08</v>
      </c>
      <c r="G17" s="6">
        <f t="shared" si="7"/>
        <v>970</v>
      </c>
      <c r="H17" s="3" t="str">
        <f t="shared" si="13"/>
        <v>2025-09-01</v>
      </c>
      <c r="I17" s="3">
        <f t="shared" si="13"/>
        <v>0</v>
      </c>
      <c r="J17" s="3" t="str">
        <f t="shared" si="13"/>
        <v>4</v>
      </c>
      <c r="K17" s="6">
        <f t="shared" si="8"/>
        <v>1135</v>
      </c>
      <c r="L17" s="3" t="str">
        <f t="shared" si="13"/>
        <v>2026-04-01</v>
      </c>
      <c r="M17" s="6">
        <f t="shared" si="9"/>
        <v>1685</v>
      </c>
      <c r="N17" s="4">
        <f t="shared" si="13"/>
        <v>0.17010309278350522</v>
      </c>
      <c r="O17" s="4">
        <f t="shared" si="13"/>
        <v>0.73711340206185572</v>
      </c>
      <c r="P17" s="3">
        <f t="shared" si="10"/>
        <v>3</v>
      </c>
      <c r="Q17" s="3">
        <f t="shared" si="4"/>
        <v>2</v>
      </c>
    </row>
    <row r="18" spans="2:17">
      <c r="B18" t="s">
        <v>63</v>
      </c>
      <c r="E18" s="3" t="str">
        <f t="shared" si="5"/>
        <v>PGAS</v>
      </c>
      <c r="F18" s="3" t="str">
        <f t="shared" ref="F18:O18" si="14">F8</f>
        <v>2025-04-08</v>
      </c>
      <c r="G18" s="6">
        <f t="shared" si="7"/>
        <v>1445</v>
      </c>
      <c r="H18" s="3" t="str">
        <f t="shared" si="14"/>
        <v>2025-09-01</v>
      </c>
      <c r="I18" s="3">
        <f t="shared" si="14"/>
        <v>0</v>
      </c>
      <c r="J18" s="3" t="str">
        <f t="shared" si="14"/>
        <v>5</v>
      </c>
      <c r="K18" s="6">
        <f t="shared" si="8"/>
        <v>1665</v>
      </c>
      <c r="L18" s="3" t="str">
        <f t="shared" si="14"/>
        <v>2026-04-01</v>
      </c>
      <c r="M18" s="6">
        <f t="shared" si="9"/>
        <v>1840</v>
      </c>
      <c r="N18" s="4">
        <f t="shared" si="14"/>
        <v>0.15224913494809678</v>
      </c>
      <c r="O18" s="4">
        <f t="shared" si="14"/>
        <v>0.27335640138408301</v>
      </c>
      <c r="P18" s="3">
        <f t="shared" si="10"/>
        <v>4</v>
      </c>
      <c r="Q18" s="3">
        <f t="shared" si="4"/>
        <v>5</v>
      </c>
    </row>
    <row r="19" spans="2:17">
      <c r="E19" s="3" t="str">
        <f t="shared" si="5"/>
        <v>PTBA</v>
      </c>
      <c r="F19" s="3" t="str">
        <f t="shared" ref="F19:O19" si="15">F9</f>
        <v>2025-04-08</v>
      </c>
      <c r="G19" s="6">
        <f t="shared" si="7"/>
        <v>2420</v>
      </c>
      <c r="H19" s="3" t="str">
        <f t="shared" si="15"/>
        <v>2025-09-01</v>
      </c>
      <c r="I19" s="3">
        <f t="shared" si="15"/>
        <v>0</v>
      </c>
      <c r="J19" s="3" t="str">
        <f t="shared" si="15"/>
        <v>6</v>
      </c>
      <c r="K19" s="6">
        <f t="shared" si="8"/>
        <v>2400</v>
      </c>
      <c r="L19" s="3" t="str">
        <f t="shared" si="15"/>
        <v>2026-04-01</v>
      </c>
      <c r="M19" s="6">
        <f t="shared" si="9"/>
        <v>2980</v>
      </c>
      <c r="N19" s="4">
        <f t="shared" si="15"/>
        <v>-8.2644628099173278E-3</v>
      </c>
      <c r="O19" s="4">
        <f t="shared" si="15"/>
        <v>0.23140495867768585</v>
      </c>
      <c r="P19" s="3">
        <f t="shared" si="10"/>
        <v>7</v>
      </c>
      <c r="Q19" s="3">
        <f t="shared" si="4"/>
        <v>7</v>
      </c>
    </row>
  </sheetData>
  <pageMargins left="0.7" right="0.7" top="0.75" bottom="0.75" header="0.3" footer="0.3"/>
  <ignoredErrors>
    <ignoredError sqref="G13:G19 M13:M19 K13:K19 L13:L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Virnanda Chistrian Putra ( Sales Analyst - Modern Outlet Jakarta - B2C Downstream )</dc:creator>
  <cp:keywords/>
  <dc:description/>
  <cp:lastModifiedBy>VIRNANDA CHRISTIAN PUTRA</cp:lastModifiedBy>
  <cp:revision/>
  <dcterms:created xsi:type="dcterms:W3CDTF">2026-06-22T09:29:34Z</dcterms:created>
  <dcterms:modified xsi:type="dcterms:W3CDTF">2026-06-28T07:44:39Z</dcterms:modified>
  <cp:category/>
  <cp:contentStatus/>
</cp:coreProperties>
</file>